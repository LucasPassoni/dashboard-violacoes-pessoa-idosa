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<sst xmlns="http://schemas.openxmlformats.org/spreadsheetml/2006/main" count="162" uniqueCount="82">
  <si>
    <t xml:space="preserve">bairro</t>
  </si>
  <si>
    <t xml:space="preserve">Cárcere Privado</t>
  </si>
  <si>
    <t xml:space="preserve">Direitos Violados</t>
  </si>
  <si>
    <t xml:space="preserve">Discriminação</t>
  </si>
  <si>
    <t xml:space="preserve">Física</t>
  </si>
  <si>
    <t xml:space="preserve">Maus Tratos</t>
  </si>
  <si>
    <t xml:space="preserve">Negligência</t>
  </si>
  <si>
    <t xml:space="preserve">Patrimonial</t>
  </si>
  <si>
    <t xml:space="preserve">Psicológica</t>
  </si>
  <si>
    <t xml:space="preserve">Sexual</t>
  </si>
  <si>
    <t xml:space="preserve">Verbal</t>
  </si>
  <si>
    <t xml:space="preserve">Total</t>
  </si>
  <si>
    <t xml:space="preserve">Valores (%)</t>
  </si>
  <si>
    <t xml:space="preserve">Conjunto Residencial Branca Vieira</t>
  </si>
  <si>
    <t xml:space="preserve">Jardim Catedral</t>
  </si>
  <si>
    <t xml:space="preserve">Jardim Everest</t>
  </si>
  <si>
    <t xml:space="preserve">Jardim Oasis</t>
  </si>
  <si>
    <t xml:space="preserve">Jardim Paris III</t>
  </si>
  <si>
    <t xml:space="preserve">Jardim São Jorge</t>
  </si>
  <si>
    <t xml:space="preserve">Jardim Universo</t>
  </si>
  <si>
    <t xml:space="preserve">Parque Hortência</t>
  </si>
  <si>
    <t xml:space="preserve">Vila Bosque</t>
  </si>
  <si>
    <t xml:space="preserve">Vila Ipiranga</t>
  </si>
  <si>
    <t xml:space="preserve">Zona 08</t>
  </si>
  <si>
    <t xml:space="preserve">Centro</t>
  </si>
  <si>
    <t xml:space="preserve">Conjunto Habitacional Hermann Moraes Barros</t>
  </si>
  <si>
    <t xml:space="preserve">Conjunto Habitacional Lea Leal</t>
  </si>
  <si>
    <t xml:space="preserve">Distrito de Floriano</t>
  </si>
  <si>
    <t xml:space="preserve">Jardim Canadá II Parte</t>
  </si>
  <si>
    <t xml:space="preserve">Jardim Cerro Azul</t>
  </si>
  <si>
    <t xml:space="preserve">Jardim Guaporé</t>
  </si>
  <si>
    <t xml:space="preserve">Jardim Maravilha</t>
  </si>
  <si>
    <t xml:space="preserve">Jardim São Clemente</t>
  </si>
  <si>
    <t xml:space="preserve">Parque Avenida</t>
  </si>
  <si>
    <t xml:space="preserve">Parque da Gávea</t>
  </si>
  <si>
    <t xml:space="preserve">Portal das Torres</t>
  </si>
  <si>
    <t xml:space="preserve">Vila Santo Antônio</t>
  </si>
  <si>
    <t xml:space="preserve">Conjunto Habitacional Inocente Vila Nova Júnior</t>
  </si>
  <si>
    <t xml:space="preserve">Conjunto Residencial Cidade Alta</t>
  </si>
  <si>
    <t xml:space="preserve">Jardim Novo Horizonte</t>
  </si>
  <si>
    <t xml:space="preserve">Jardim Paulista</t>
  </si>
  <si>
    <t xml:space="preserve">Jardim Real</t>
  </si>
  <si>
    <t xml:space="preserve">Jardim Seminário</t>
  </si>
  <si>
    <t xml:space="preserve">Loteamento Grajaú</t>
  </si>
  <si>
    <t xml:space="preserve">Loteamento Madrid</t>
  </si>
  <si>
    <t xml:space="preserve">Parque Residencial Tuiuti</t>
  </si>
  <si>
    <t xml:space="preserve">Vila Marumby</t>
  </si>
  <si>
    <t xml:space="preserve">Zona 01</t>
  </si>
  <si>
    <t xml:space="preserve">Zona 05 </t>
  </si>
  <si>
    <t xml:space="preserve">Jardim Paulista II</t>
  </si>
  <si>
    <t xml:space="preserve">Vila Operária</t>
  </si>
  <si>
    <t xml:space="preserve">Zona 06</t>
  </si>
  <si>
    <t xml:space="preserve">Jardim Copacabana</t>
  </si>
  <si>
    <t xml:space="preserve">Jardim Itália</t>
  </si>
  <si>
    <t xml:space="preserve">Jardim Liberdade</t>
  </si>
  <si>
    <t xml:space="preserve">Jardim Monte Rei</t>
  </si>
  <si>
    <t xml:space="preserve">Jardim Montreal</t>
  </si>
  <si>
    <t xml:space="preserve">Conjunto Habitacional Sanenge</t>
  </si>
  <si>
    <t xml:space="preserve">Conjunto Residencial Ney Braga</t>
  </si>
  <si>
    <t xml:space="preserve">Jardim Dourados</t>
  </si>
  <si>
    <t xml:space="preserve">Jardim Olímpico</t>
  </si>
  <si>
    <t xml:space="preserve">Jardim Piatã</t>
  </si>
  <si>
    <t xml:space="preserve">Parque das Grevíleas</t>
  </si>
  <si>
    <t xml:space="preserve">Vila Vardelina</t>
  </si>
  <si>
    <t xml:space="preserve">Jardim América</t>
  </si>
  <si>
    <t xml:space="preserve">Loteamento Batel</t>
  </si>
  <si>
    <t xml:space="preserve">Vila Nova</t>
  </si>
  <si>
    <t xml:space="preserve">Distrito de Iguatemi</t>
  </si>
  <si>
    <t xml:space="preserve">Jardim Ebenézer</t>
  </si>
  <si>
    <t xml:space="preserve">Parque das Laranjeiras</t>
  </si>
  <si>
    <t xml:space="preserve">Zona 05</t>
  </si>
  <si>
    <t xml:space="preserve">Jardim São Silvestre</t>
  </si>
  <si>
    <t xml:space="preserve">Vila Esperança</t>
  </si>
  <si>
    <t xml:space="preserve">Conjunto João de Barro Itaparica</t>
  </si>
  <si>
    <t xml:space="preserve">Vila Morangueira</t>
  </si>
  <si>
    <t xml:space="preserve">Conjunto Guaiapó</t>
  </si>
  <si>
    <t xml:space="preserve">Não Informado</t>
  </si>
  <si>
    <t xml:space="preserve">Zona 07</t>
  </si>
  <si>
    <t xml:space="preserve">Zona 02</t>
  </si>
  <si>
    <t xml:space="preserve">Conjunto Habitacional Requião</t>
  </si>
  <si>
    <t xml:space="preserve">Zona 04</t>
  </si>
  <si>
    <t xml:space="preserve">Jardim Alvorada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</si>
</sst>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486793630970965"/>
          <c:y val="0.0330036670741193"/>
          <c:w val="0.321511083359351"/>
          <c:h val="0.87198577619735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'2024'!$AA$2:$AA$70</c:f>
              <c:strCache>
                <c:ptCount val="69"/>
                <c:pt idx="0">
                  <c:v>Conjunto Residencial Branca Vieira</c:v>
                </c:pt>
                <c:pt idx="1">
                  <c:v>Jardim Catedral</c:v>
                </c:pt>
                <c:pt idx="2">
                  <c:v>Jardim Everest</c:v>
                </c:pt>
                <c:pt idx="3">
                  <c:v>Jardim Oasis</c:v>
                </c:pt>
                <c:pt idx="4">
                  <c:v>Jardim Paris III</c:v>
                </c:pt>
                <c:pt idx="5">
                  <c:v>Jardim São Jorge</c:v>
                </c:pt>
                <c:pt idx="6">
                  <c:v>Jardim Universo</c:v>
                </c:pt>
                <c:pt idx="7">
                  <c:v>Parque Hortência</c:v>
                </c:pt>
                <c:pt idx="8">
                  <c:v>Vila Bosque</c:v>
                </c:pt>
                <c:pt idx="9">
                  <c:v>Vila Ipiranga</c:v>
                </c:pt>
                <c:pt idx="10">
                  <c:v>Zona 08</c:v>
                </c:pt>
                <c:pt idx="11">
                  <c:v>Centro</c:v>
                </c:pt>
                <c:pt idx="12">
                  <c:v>Conjunto Habitacional Hermann Moraes Barros</c:v>
                </c:pt>
                <c:pt idx="13">
                  <c:v>Conjunto Habitacional Lea Leal</c:v>
                </c:pt>
                <c:pt idx="14">
                  <c:v>Distrito de Floriano</c:v>
                </c:pt>
                <c:pt idx="15">
                  <c:v>Jardim Canadá II Parte</c:v>
                </c:pt>
                <c:pt idx="16">
                  <c:v>Jardim Cerro Azul</c:v>
                </c:pt>
                <c:pt idx="17">
                  <c:v>Jardim Guaporé</c:v>
                </c:pt>
                <c:pt idx="18">
                  <c:v>Jardim Maravilha</c:v>
                </c:pt>
                <c:pt idx="19">
                  <c:v>Jardim São Clemente</c:v>
                </c:pt>
                <c:pt idx="20">
                  <c:v>Parque Avenida</c:v>
                </c:pt>
                <c:pt idx="21">
                  <c:v>Parque da Gávea</c:v>
                </c:pt>
                <c:pt idx="22">
                  <c:v>Portal das Torres</c:v>
                </c:pt>
                <c:pt idx="23">
                  <c:v>Vila Santo Antônio</c:v>
                </c:pt>
                <c:pt idx="24">
                  <c:v>Conjunto Habitacional Inocente Vila Nova Júnior</c:v>
                </c:pt>
                <c:pt idx="25">
                  <c:v>Conjunto Residencial Cidade Alta</c:v>
                </c:pt>
                <c:pt idx="26">
                  <c:v>Jardim Novo Horizonte</c:v>
                </c:pt>
                <c:pt idx="27">
                  <c:v>Jardim Paulista</c:v>
                </c:pt>
                <c:pt idx="28">
                  <c:v>Jardim Real</c:v>
                </c:pt>
                <c:pt idx="29">
                  <c:v>Jardim Seminário</c:v>
                </c:pt>
                <c:pt idx="30">
                  <c:v>Loteamento Grajaú</c:v>
                </c:pt>
                <c:pt idx="31">
                  <c:v>Loteamento Madrid</c:v>
                </c:pt>
                <c:pt idx="32">
                  <c:v>Parque Residencial Tuiuti</c:v>
                </c:pt>
                <c:pt idx="33">
                  <c:v>Vila Marumby</c:v>
                </c:pt>
                <c:pt idx="34">
                  <c:v>Zona 01</c:v>
                </c:pt>
                <c:pt idx="35">
                  <c:v>Zona 05 </c:v>
                </c:pt>
                <c:pt idx="36">
                  <c:v>Jardim Paulista II</c:v>
                </c:pt>
                <c:pt idx="37">
                  <c:v>Vila Operária</c:v>
                </c:pt>
                <c:pt idx="38">
                  <c:v>Zona 06</c:v>
                </c:pt>
                <c:pt idx="39">
                  <c:v>Jardim Copacabana</c:v>
                </c:pt>
                <c:pt idx="40">
                  <c:v>Jardim Itália</c:v>
                </c:pt>
                <c:pt idx="41">
                  <c:v>Jardim Liberdade</c:v>
                </c:pt>
                <c:pt idx="42">
                  <c:v>Jardim Monte Rei</c:v>
                </c:pt>
                <c:pt idx="43">
                  <c:v>Jardim Montreal</c:v>
                </c:pt>
                <c:pt idx="44">
                  <c:v>Conjunto Habitacional Sanenge</c:v>
                </c:pt>
                <c:pt idx="45">
                  <c:v>Conjunto Residencial Ney Braga</c:v>
                </c:pt>
                <c:pt idx="46">
                  <c:v>Jardim Dourados</c:v>
                </c:pt>
                <c:pt idx="47">
                  <c:v>Jardim Olímpico</c:v>
                </c:pt>
                <c:pt idx="48">
                  <c:v>Jardim Piatã</c:v>
                </c:pt>
                <c:pt idx="49">
                  <c:v>Parque das Grevíleas</c:v>
                </c:pt>
                <c:pt idx="50">
                  <c:v>Vila Vardelina</c:v>
                </c:pt>
                <c:pt idx="51">
                  <c:v>Jardim América</c:v>
                </c:pt>
                <c:pt idx="52">
                  <c:v>Loteamento Batel</c:v>
                </c:pt>
                <c:pt idx="53">
                  <c:v>Vila Nova</c:v>
                </c:pt>
                <c:pt idx="54">
                  <c:v>Distrito de Iguatemi</c:v>
                </c:pt>
                <c:pt idx="55">
                  <c:v>Jardim Ebenézer</c:v>
                </c:pt>
                <c:pt idx="56">
                  <c:v>Parque das Laranjeiras</c:v>
                </c:pt>
                <c:pt idx="57">
                  <c:v>Zona 05</c:v>
                </c:pt>
                <c:pt idx="58">
                  <c:v>Jardim São Silvestre</c:v>
                </c:pt>
                <c:pt idx="59">
                  <c:v>Vila Esperança</c:v>
                </c:pt>
                <c:pt idx="60">
                  <c:v>Conjunto João de Barro Itaparica</c:v>
                </c:pt>
                <c:pt idx="61">
                  <c:v>Vila Morangueira</c:v>
                </c:pt>
                <c:pt idx="62">
                  <c:v>Conjunto Guaiapó</c:v>
                </c:pt>
                <c:pt idx="63">
                  <c:v>Não Informado</c:v>
                </c:pt>
                <c:pt idx="64">
                  <c:v>Zona 07</c:v>
                </c:pt>
                <c:pt idx="65">
                  <c:v>Zona 02</c:v>
                </c:pt>
                <c:pt idx="66">
                  <c:v>Conjunto Habitacional Requião</c:v>
                </c:pt>
                <c:pt idx="67">
                  <c:v>Zona 04</c:v>
                </c:pt>
                <c:pt idx="68">
                  <c:v>Jardim Alvorada</c:v>
                </c:pt>
              </c:strCache>
            </c:strRef>
          </c:cat>
          <c:val>
            <c:numRef>
              <c:f>'2024'!$AB$2:$AB$70</c:f>
              <c:numCache>
                <c:formatCode>General</c:formatCode>
                <c:ptCount val="6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13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18</c:v>
                </c:pt>
                <c:pt idx="67">
                  <c:v>21</c:v>
                </c:pt>
                <c:pt idx="68">
                  <c:v>27</c:v>
                </c:pt>
              </c:numCache>
            </c:numRef>
          </c:val>
        </c:ser>
        <c:gapWidth val="100"/>
        <c:overlap val="0"/>
        <c:axId val="81822601"/>
        <c:axId val="74435455"/>
      </c:barChart>
      <c:catAx>
        <c:axId val="818226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435455"/>
        <c:crosses val="autoZero"/>
        <c:auto val="1"/>
        <c:lblAlgn val="ctr"/>
        <c:lblOffset val="100"/>
        <c:noMultiLvlLbl val="0"/>
      </c:catAx>
      <c:valAx>
        <c:axId val="7443545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822601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'2024'!$P$1</c:f>
              <c:strCache>
                <c:ptCount val="1"/>
                <c:pt idx="0">
                  <c:v>Valores (%)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'2024'!$O$2:$O$11</c:f>
              <c:strCache>
                <c:ptCount val="10"/>
                <c:pt idx="0">
                  <c:v>Negligência</c:v>
                </c:pt>
                <c:pt idx="1">
                  <c:v>Psicológica</c:v>
                </c:pt>
                <c:pt idx="2">
                  <c:v>Maus Tratos</c:v>
                </c:pt>
                <c:pt idx="3">
                  <c:v>Patrimonial</c:v>
                </c:pt>
                <c:pt idx="4">
                  <c:v>Física</c:v>
                </c:pt>
                <c:pt idx="5">
                  <c:v>Verbal</c:v>
                </c:pt>
                <c:pt idx="6">
                  <c:v>Direitos Violados</c:v>
                </c:pt>
                <c:pt idx="7">
                  <c:v>Cárcere Privado</c:v>
                </c:pt>
                <c:pt idx="8">
                  <c:v>Discriminação</c:v>
                </c:pt>
                <c:pt idx="9">
                  <c:v>Sexual</c:v>
                </c:pt>
              </c:strCache>
            </c:strRef>
          </c:cat>
          <c:val>
            <c:numRef>
              <c:f>'2024'!$P$2:$P$11</c:f>
              <c:numCache>
                <c:formatCode>General</c:formatCode>
                <c:ptCount val="10"/>
                <c:pt idx="0">
                  <c:v>0.288461538461538</c:v>
                </c:pt>
                <c:pt idx="1">
                  <c:v>0.18956043956044</c:v>
                </c:pt>
                <c:pt idx="2">
                  <c:v>0.164835164835165</c:v>
                </c:pt>
                <c:pt idx="3">
                  <c:v>0.126373626373626</c:v>
                </c:pt>
                <c:pt idx="4">
                  <c:v>0.118131868131868</c:v>
                </c:pt>
                <c:pt idx="5">
                  <c:v>0.0741758241758242</c:v>
                </c:pt>
                <c:pt idx="6">
                  <c:v>0.021978021978022</c:v>
                </c:pt>
                <c:pt idx="7">
                  <c:v>0.010989010989011</c:v>
                </c:pt>
                <c:pt idx="8">
                  <c:v>0.00274725274725275</c:v>
                </c:pt>
                <c:pt idx="9">
                  <c:v>0.00274725274725275</c:v>
                </c:pt>
              </c:numCache>
            </c:numRef>
          </c:val>
        </c:ser>
        <c:gapWidth val="100"/>
        <c:overlap val="0"/>
        <c:axId val="27639998"/>
        <c:axId val="44595575"/>
      </c:barChart>
      <c:catAx>
        <c:axId val="276399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595575"/>
        <c:crosses val="autoZero"/>
        <c:auto val="1"/>
        <c:lblAlgn val="ctr"/>
        <c:lblOffset val="100"/>
        <c:noMultiLvlLbl val="0"/>
      </c:catAx>
      <c:valAx>
        <c:axId val="4459557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7639998"/>
        <c:crossesAt val="1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315000</xdr:colOff>
      <xdr:row>21</xdr:row>
      <xdr:rowOff>55800</xdr:rowOff>
    </xdr:from>
    <xdr:to>
      <xdr:col>22</xdr:col>
      <xdr:colOff>564840</xdr:colOff>
      <xdr:row>39</xdr:row>
      <xdr:rowOff>140400</xdr:rowOff>
    </xdr:to>
    <xdr:graphicFrame>
      <xdr:nvGraphicFramePr>
        <xdr:cNvPr id="0" name=""/>
        <xdr:cNvGraphicFramePr/>
      </xdr:nvGraphicFramePr>
      <xdr:xfrm>
        <a:off x="13662360" y="3736080"/>
        <a:ext cx="576504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6480</xdr:colOff>
      <xdr:row>0</xdr:row>
      <xdr:rowOff>0</xdr:rowOff>
    </xdr:from>
    <xdr:to>
      <xdr:col>23</xdr:col>
      <xdr:colOff>251280</xdr:colOff>
      <xdr:row>18</xdr:row>
      <xdr:rowOff>84960</xdr:rowOff>
    </xdr:to>
    <xdr:graphicFrame>
      <xdr:nvGraphicFramePr>
        <xdr:cNvPr id="1" name=""/>
        <xdr:cNvGraphicFramePr/>
      </xdr:nvGraphicFramePr>
      <xdr:xfrm>
        <a:off x="139669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7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Y18" activeCellId="0" sqref="Y1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47.7"/>
    <col collapsed="false" customWidth="true" hidden="false" outlineLevel="0" max="2" min="2" style="0" width="15.42"/>
    <col collapsed="false" customWidth="true" hidden="false" outlineLevel="0" max="3" min="3" style="0" width="16.53"/>
    <col collapsed="false" customWidth="true" hidden="false" outlineLevel="0" max="4" min="4" style="0" width="15"/>
    <col collapsed="false" customWidth="true" hidden="false" outlineLevel="0" max="6" min="6" style="0" width="12.9"/>
    <col collapsed="false" customWidth="true" hidden="false" outlineLevel="0" max="7" min="7" style="0" width="12.78"/>
    <col collapsed="false" customWidth="true" hidden="false" outlineLevel="0" max="8" min="8" style="0" width="12.22"/>
    <col collapsed="false" customWidth="true" hidden="false" outlineLevel="0" max="9" min="9" style="0" width="13.19"/>
    <col collapsed="false" customWidth="true" hidden="false" outlineLevel="0" max="27" min="27" style="0" width="42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P1" s="0" t="s">
        <v>12</v>
      </c>
    </row>
    <row r="2" customFormat="false" ht="13.8" hidden="false" customHeight="false" outlineLevel="0" collapsed="false">
      <c r="A2" s="1" t="s">
        <v>13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3" t="n">
        <v>1</v>
      </c>
      <c r="O2" s="0" t="s">
        <v>6</v>
      </c>
      <c r="P2" s="4" t="n">
        <f aca="false">Q2/$L$71</f>
        <v>0.288461538461538</v>
      </c>
      <c r="Q2" s="0" t="n">
        <v>105</v>
      </c>
      <c r="AA2" s="1" t="s">
        <v>13</v>
      </c>
      <c r="AB2" s="3" t="n">
        <v>1</v>
      </c>
    </row>
    <row r="3" customFormat="false" ht="13.8" hidden="false" customHeight="false" outlineLevel="0" collapsed="false">
      <c r="A3" s="1" t="s">
        <v>14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3" t="n">
        <v>1</v>
      </c>
      <c r="O3" s="0" t="s">
        <v>8</v>
      </c>
      <c r="P3" s="4" t="n">
        <f aca="false">Q3/$L$71</f>
        <v>0.18956043956044</v>
      </c>
      <c r="Q3" s="0" t="n">
        <v>69</v>
      </c>
      <c r="AA3" s="1" t="s">
        <v>14</v>
      </c>
      <c r="AB3" s="3" t="n">
        <v>1</v>
      </c>
    </row>
    <row r="4" customFormat="false" ht="13.8" hidden="false" customHeight="false" outlineLevel="0" collapsed="false">
      <c r="A4" s="1" t="s">
        <v>15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3" t="n">
        <v>1</v>
      </c>
      <c r="O4" s="0" t="s">
        <v>5</v>
      </c>
      <c r="P4" s="4" t="n">
        <f aca="false">Q4/$L$71</f>
        <v>0.164835164835165</v>
      </c>
      <c r="Q4" s="0" t="n">
        <v>60</v>
      </c>
      <c r="AA4" s="1" t="s">
        <v>15</v>
      </c>
      <c r="AB4" s="3" t="n">
        <v>1</v>
      </c>
    </row>
    <row r="5" customFormat="false" ht="13.8" hidden="false" customHeight="false" outlineLevel="0" collapsed="false">
      <c r="A5" s="1" t="s">
        <v>16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3" t="n">
        <v>1</v>
      </c>
      <c r="O5" s="0" t="s">
        <v>7</v>
      </c>
      <c r="P5" s="4" t="n">
        <f aca="false">Q5/$L$71</f>
        <v>0.126373626373626</v>
      </c>
      <c r="Q5" s="0" t="n">
        <v>46</v>
      </c>
      <c r="AA5" s="1" t="s">
        <v>16</v>
      </c>
      <c r="AB5" s="3" t="n">
        <v>1</v>
      </c>
    </row>
    <row r="6" customFormat="false" ht="13.8" hidden="false" customHeight="false" outlineLevel="0" collapsed="false">
      <c r="A6" s="1" t="s">
        <v>17</v>
      </c>
      <c r="B6" s="0" t="n">
        <v>0</v>
      </c>
      <c r="C6" s="0" t="n">
        <v>1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3" t="n">
        <v>1</v>
      </c>
      <c r="O6" s="0" t="s">
        <v>4</v>
      </c>
      <c r="P6" s="4" t="n">
        <f aca="false">Q6/$L$71</f>
        <v>0.118131868131868</v>
      </c>
      <c r="Q6" s="0" t="n">
        <v>43</v>
      </c>
      <c r="AA6" s="1" t="s">
        <v>17</v>
      </c>
      <c r="AB6" s="3" t="n">
        <v>1</v>
      </c>
    </row>
    <row r="7" customFormat="false" ht="13.8" hidden="false" customHeight="false" outlineLevel="0" collapsed="false">
      <c r="A7" s="1" t="s">
        <v>18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3" t="n">
        <v>1</v>
      </c>
      <c r="O7" s="0" t="s">
        <v>10</v>
      </c>
      <c r="P7" s="4" t="n">
        <f aca="false">Q7/$L$71</f>
        <v>0.0741758241758242</v>
      </c>
      <c r="Q7" s="0" t="n">
        <v>27</v>
      </c>
      <c r="AA7" s="1" t="s">
        <v>18</v>
      </c>
      <c r="AB7" s="3" t="n">
        <v>1</v>
      </c>
    </row>
    <row r="8" customFormat="false" ht="13.8" hidden="false" customHeight="false" outlineLevel="0" collapsed="false">
      <c r="A8" s="1" t="s">
        <v>19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3" t="n">
        <v>1</v>
      </c>
      <c r="O8" s="0" t="s">
        <v>2</v>
      </c>
      <c r="P8" s="4" t="n">
        <f aca="false">Q8/$L$71</f>
        <v>0.021978021978022</v>
      </c>
      <c r="Q8" s="0" t="n">
        <v>8</v>
      </c>
      <c r="AA8" s="1" t="s">
        <v>19</v>
      </c>
      <c r="AB8" s="3" t="n">
        <v>1</v>
      </c>
    </row>
    <row r="9" customFormat="false" ht="13.8" hidden="false" customHeight="false" outlineLevel="0" collapsed="false">
      <c r="A9" s="1" t="s">
        <v>20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3" t="n">
        <v>1</v>
      </c>
      <c r="O9" s="0" t="s">
        <v>1</v>
      </c>
      <c r="P9" s="4" t="n">
        <f aca="false">Q9/$L$71</f>
        <v>0.010989010989011</v>
      </c>
      <c r="Q9" s="0" t="n">
        <v>4</v>
      </c>
      <c r="AA9" s="1" t="s">
        <v>20</v>
      </c>
      <c r="AB9" s="3" t="n">
        <v>1</v>
      </c>
    </row>
    <row r="10" customFormat="false" ht="13.8" hidden="false" customHeight="false" outlineLevel="0" collapsed="false">
      <c r="A10" s="1" t="s">
        <v>21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3" t="n">
        <v>1</v>
      </c>
      <c r="O10" s="0" t="s">
        <v>3</v>
      </c>
      <c r="P10" s="4" t="n">
        <f aca="false">Q10/$L$71</f>
        <v>0.00274725274725275</v>
      </c>
      <c r="Q10" s="0" t="n">
        <v>1</v>
      </c>
      <c r="AA10" s="1" t="s">
        <v>21</v>
      </c>
      <c r="AB10" s="3" t="n">
        <v>1</v>
      </c>
    </row>
    <row r="11" customFormat="false" ht="13.8" hidden="false" customHeight="false" outlineLevel="0" collapsed="false">
      <c r="A11" s="1" t="s">
        <v>22</v>
      </c>
      <c r="B11" s="0" t="n">
        <v>0</v>
      </c>
      <c r="C11" s="0" t="n">
        <v>1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3" t="n">
        <v>1</v>
      </c>
      <c r="O11" s="0" t="s">
        <v>9</v>
      </c>
      <c r="P11" s="4" t="n">
        <f aca="false">Q11/$L$71</f>
        <v>0.00274725274725275</v>
      </c>
      <c r="Q11" s="0" t="n">
        <v>1</v>
      </c>
      <c r="AA11" s="1" t="s">
        <v>22</v>
      </c>
      <c r="AB11" s="3" t="n">
        <v>1</v>
      </c>
    </row>
    <row r="12" customFormat="false" ht="13.8" hidden="false" customHeight="false" outlineLevel="0" collapsed="false">
      <c r="A12" s="1" t="s">
        <v>23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3" t="n">
        <v>1</v>
      </c>
      <c r="AA12" s="1" t="s">
        <v>23</v>
      </c>
      <c r="AB12" s="3" t="n">
        <v>1</v>
      </c>
    </row>
    <row r="13" customFormat="false" ht="13.8" hidden="false" customHeight="false" outlineLevel="0" collapsed="false">
      <c r="A13" s="1" t="s">
        <v>24</v>
      </c>
      <c r="B13" s="0" t="n">
        <v>0</v>
      </c>
      <c r="C13" s="0" t="n">
        <v>0</v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3" t="n">
        <v>2</v>
      </c>
      <c r="AA13" s="1" t="s">
        <v>24</v>
      </c>
      <c r="AB13" s="3" t="n">
        <v>2</v>
      </c>
    </row>
    <row r="14" customFormat="false" ht="13.8" hidden="false" customHeight="false" outlineLevel="0" collapsed="false">
      <c r="A14" s="1" t="s">
        <v>25</v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3" t="n">
        <v>2</v>
      </c>
      <c r="AA14" s="1" t="s">
        <v>25</v>
      </c>
      <c r="AB14" s="3" t="n">
        <v>2</v>
      </c>
    </row>
    <row r="15" customFormat="false" ht="13.8" hidden="false" customHeight="false" outlineLevel="0" collapsed="false">
      <c r="A15" s="1" t="s">
        <v>26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3" t="n">
        <v>2</v>
      </c>
      <c r="AA15" s="1" t="s">
        <v>26</v>
      </c>
      <c r="AB15" s="3" t="n">
        <v>2</v>
      </c>
    </row>
    <row r="16" customFormat="false" ht="13.8" hidden="false" customHeight="false" outlineLevel="0" collapsed="false">
      <c r="A16" s="1" t="s">
        <v>27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3" t="n">
        <v>2</v>
      </c>
      <c r="AA16" s="1" t="s">
        <v>27</v>
      </c>
      <c r="AB16" s="3" t="n">
        <v>2</v>
      </c>
    </row>
    <row r="17" customFormat="false" ht="13.8" hidden="false" customHeight="false" outlineLevel="0" collapsed="false">
      <c r="A17" s="1" t="s">
        <v>28</v>
      </c>
      <c r="B17" s="0" t="n">
        <v>0</v>
      </c>
      <c r="C17" s="0" t="n">
        <v>0</v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3" t="n">
        <v>2</v>
      </c>
      <c r="AA17" s="1" t="s">
        <v>28</v>
      </c>
      <c r="AB17" s="3" t="n">
        <v>2</v>
      </c>
    </row>
    <row r="18" customFormat="false" ht="13.8" hidden="false" customHeight="false" outlineLevel="0" collapsed="false">
      <c r="A18" s="1" t="s">
        <v>29</v>
      </c>
      <c r="B18" s="0" t="n">
        <v>0</v>
      </c>
      <c r="C18" s="0" t="n">
        <v>0</v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3" t="n">
        <v>2</v>
      </c>
      <c r="AA18" s="1" t="s">
        <v>29</v>
      </c>
      <c r="AB18" s="3" t="n">
        <v>2</v>
      </c>
    </row>
    <row r="19" customFormat="false" ht="13.8" hidden="false" customHeight="false" outlineLevel="0" collapsed="false">
      <c r="A19" s="1" t="s">
        <v>30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3" t="n">
        <v>2</v>
      </c>
      <c r="AA19" s="1" t="s">
        <v>30</v>
      </c>
      <c r="AB19" s="3" t="n">
        <v>2</v>
      </c>
    </row>
    <row r="20" customFormat="false" ht="13.8" hidden="false" customHeight="false" outlineLevel="0" collapsed="false">
      <c r="A20" s="1" t="s">
        <v>31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3" t="n">
        <v>2</v>
      </c>
      <c r="AA20" s="1" t="s">
        <v>31</v>
      </c>
      <c r="AB20" s="3" t="n">
        <v>2</v>
      </c>
    </row>
    <row r="21" customFormat="false" ht="13.8" hidden="false" customHeight="false" outlineLevel="0" collapsed="false">
      <c r="A21" s="1" t="s">
        <v>32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3" t="n">
        <v>2</v>
      </c>
      <c r="AA21" s="1" t="s">
        <v>32</v>
      </c>
      <c r="AB21" s="3" t="n">
        <v>2</v>
      </c>
    </row>
    <row r="22" customFormat="false" ht="13.8" hidden="false" customHeight="false" outlineLevel="0" collapsed="false">
      <c r="A22" s="1" t="s">
        <v>33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3" t="n">
        <v>2</v>
      </c>
      <c r="AA22" s="1" t="s">
        <v>33</v>
      </c>
      <c r="AB22" s="3" t="n">
        <v>2</v>
      </c>
    </row>
    <row r="23" customFormat="false" ht="13.8" hidden="false" customHeight="false" outlineLevel="0" collapsed="false">
      <c r="A23" s="1" t="s">
        <v>34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3" t="n">
        <v>2</v>
      </c>
      <c r="AA23" s="1" t="s">
        <v>34</v>
      </c>
      <c r="AB23" s="3" t="n">
        <v>2</v>
      </c>
    </row>
    <row r="24" customFormat="false" ht="13.8" hidden="false" customHeight="false" outlineLevel="0" collapsed="false">
      <c r="A24" s="1" t="s">
        <v>35</v>
      </c>
      <c r="B24" s="0" t="n">
        <v>0</v>
      </c>
      <c r="C24" s="0" t="n">
        <v>0</v>
      </c>
      <c r="D24" s="0" t="n">
        <v>0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3" t="n">
        <v>2</v>
      </c>
      <c r="AA24" s="1" t="s">
        <v>35</v>
      </c>
      <c r="AB24" s="3" t="n">
        <v>2</v>
      </c>
    </row>
    <row r="25" customFormat="false" ht="13.8" hidden="false" customHeight="false" outlineLevel="0" collapsed="false">
      <c r="A25" s="1" t="s">
        <v>36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3" t="n">
        <v>2</v>
      </c>
      <c r="AA25" s="1" t="s">
        <v>36</v>
      </c>
      <c r="AB25" s="3" t="n">
        <v>2</v>
      </c>
    </row>
    <row r="26" customFormat="false" ht="13.8" hidden="false" customHeight="false" outlineLevel="0" collapsed="false">
      <c r="A26" s="1" t="s">
        <v>37</v>
      </c>
      <c r="B26" s="0" t="n">
        <v>0</v>
      </c>
      <c r="C26" s="0" t="n">
        <v>1</v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3" t="n">
        <v>3</v>
      </c>
      <c r="AA26" s="1" t="s">
        <v>37</v>
      </c>
      <c r="AB26" s="3" t="n">
        <v>3</v>
      </c>
    </row>
    <row r="27" customFormat="false" ht="13.8" hidden="false" customHeight="false" outlineLevel="0" collapsed="false">
      <c r="A27" s="1" t="s">
        <v>38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3" t="n">
        <v>3</v>
      </c>
      <c r="AA27" s="1" t="s">
        <v>38</v>
      </c>
      <c r="AB27" s="3" t="n">
        <v>3</v>
      </c>
    </row>
    <row r="28" customFormat="false" ht="13.8" hidden="false" customHeight="false" outlineLevel="0" collapsed="false">
      <c r="A28" s="1" t="s">
        <v>39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3" t="n">
        <v>3</v>
      </c>
      <c r="AA28" s="1" t="s">
        <v>39</v>
      </c>
      <c r="AB28" s="3" t="n">
        <v>3</v>
      </c>
    </row>
    <row r="29" customFormat="false" ht="13.8" hidden="false" customHeight="false" outlineLevel="0" collapsed="false">
      <c r="A29" s="1" t="s">
        <v>40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3" t="n">
        <v>3</v>
      </c>
      <c r="AA29" s="1" t="s">
        <v>40</v>
      </c>
      <c r="AB29" s="3" t="n">
        <v>3</v>
      </c>
    </row>
    <row r="30" customFormat="false" ht="13.8" hidden="false" customHeight="false" outlineLevel="0" collapsed="false">
      <c r="A30" s="1" t="s">
        <v>41</v>
      </c>
      <c r="B30" s="0" t="n">
        <v>0</v>
      </c>
      <c r="C30" s="0" t="n">
        <v>0</v>
      </c>
      <c r="D30" s="0" t="n">
        <v>0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3" t="n">
        <v>3</v>
      </c>
      <c r="AA30" s="1" t="s">
        <v>41</v>
      </c>
      <c r="AB30" s="3" t="n">
        <v>3</v>
      </c>
    </row>
    <row r="31" customFormat="false" ht="13.8" hidden="false" customHeight="false" outlineLevel="0" collapsed="false">
      <c r="A31" s="1" t="s">
        <v>42</v>
      </c>
      <c r="B31" s="0" t="n">
        <v>0</v>
      </c>
      <c r="C31" s="0" t="n">
        <v>0</v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3" t="n">
        <v>3</v>
      </c>
      <c r="AA31" s="1" t="s">
        <v>42</v>
      </c>
      <c r="AB31" s="3" t="n">
        <v>3</v>
      </c>
    </row>
    <row r="32" customFormat="false" ht="13.8" hidden="false" customHeight="false" outlineLevel="0" collapsed="false">
      <c r="A32" s="1" t="s">
        <v>43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3" t="n">
        <v>3</v>
      </c>
      <c r="AA32" s="1" t="s">
        <v>43</v>
      </c>
      <c r="AB32" s="3" t="n">
        <v>3</v>
      </c>
    </row>
    <row r="33" customFormat="false" ht="13.8" hidden="false" customHeight="false" outlineLevel="0" collapsed="false">
      <c r="A33" s="1" t="s">
        <v>44</v>
      </c>
      <c r="B33" s="0" t="n">
        <v>0</v>
      </c>
      <c r="C33" s="0" t="n">
        <v>0</v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3" t="n">
        <v>3</v>
      </c>
      <c r="AA33" s="1" t="s">
        <v>44</v>
      </c>
      <c r="AB33" s="3" t="n">
        <v>3</v>
      </c>
    </row>
    <row r="34" customFormat="false" ht="13.8" hidden="false" customHeight="false" outlineLevel="0" collapsed="false">
      <c r="A34" s="1" t="s">
        <v>45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3" t="n">
        <v>3</v>
      </c>
      <c r="AA34" s="1" t="s">
        <v>45</v>
      </c>
      <c r="AB34" s="3" t="n">
        <v>3</v>
      </c>
    </row>
    <row r="35" customFormat="false" ht="13.8" hidden="false" customHeight="false" outlineLevel="0" collapsed="false">
      <c r="A35" s="1" t="s">
        <v>46</v>
      </c>
      <c r="B35" s="0" t="n">
        <v>0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3" t="n">
        <v>3</v>
      </c>
      <c r="AA35" s="1" t="s">
        <v>46</v>
      </c>
      <c r="AB35" s="3" t="n">
        <v>3</v>
      </c>
    </row>
    <row r="36" customFormat="false" ht="13.8" hidden="false" customHeight="false" outlineLevel="0" collapsed="false">
      <c r="A36" s="1" t="s">
        <v>47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3" t="n">
        <v>3</v>
      </c>
      <c r="AA36" s="1" t="s">
        <v>47</v>
      </c>
      <c r="AB36" s="3" t="n">
        <v>3</v>
      </c>
    </row>
    <row r="37" customFormat="false" ht="13.8" hidden="false" customHeight="false" outlineLevel="0" collapsed="false">
      <c r="A37" s="1" t="s">
        <v>48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3" t="n">
        <v>3</v>
      </c>
      <c r="AA37" s="1" t="s">
        <v>48</v>
      </c>
      <c r="AB37" s="3" t="n">
        <v>3</v>
      </c>
    </row>
    <row r="38" customFormat="false" ht="13.8" hidden="false" customHeight="false" outlineLevel="0" collapsed="false">
      <c r="A38" s="1" t="s">
        <v>49</v>
      </c>
      <c r="B38" s="0" t="n">
        <v>0</v>
      </c>
      <c r="C38" s="0" t="n">
        <v>0</v>
      </c>
      <c r="D38" s="0" t="n">
        <v>0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3" t="n">
        <v>4</v>
      </c>
      <c r="AA38" s="1" t="s">
        <v>49</v>
      </c>
      <c r="AB38" s="3" t="n">
        <v>4</v>
      </c>
    </row>
    <row r="39" customFormat="false" ht="13.8" hidden="false" customHeight="false" outlineLevel="0" collapsed="false">
      <c r="A39" s="1" t="s">
        <v>50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3" t="n">
        <v>4</v>
      </c>
      <c r="AA39" s="1" t="s">
        <v>50</v>
      </c>
      <c r="AB39" s="3" t="n">
        <v>4</v>
      </c>
    </row>
    <row r="40" customFormat="false" ht="13.8" hidden="false" customHeight="false" outlineLevel="0" collapsed="false">
      <c r="A40" s="1" t="s">
        <v>51</v>
      </c>
      <c r="B40" s="0" t="n">
        <v>0</v>
      </c>
      <c r="C40" s="0" t="n">
        <v>0</v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1</v>
      </c>
      <c r="I40" s="0" t="n">
        <v>1</v>
      </c>
      <c r="J40" s="0" t="n">
        <v>0</v>
      </c>
      <c r="K40" s="0" t="n">
        <v>0</v>
      </c>
      <c r="L40" s="3" t="n">
        <v>4</v>
      </c>
      <c r="AA40" s="1" t="s">
        <v>51</v>
      </c>
      <c r="AB40" s="3" t="n">
        <v>4</v>
      </c>
    </row>
    <row r="41" customFormat="false" ht="13.8" hidden="false" customHeight="false" outlineLevel="0" collapsed="false">
      <c r="A41" s="1" t="s">
        <v>52</v>
      </c>
      <c r="B41" s="0" t="n">
        <v>0</v>
      </c>
      <c r="C41" s="0" t="n">
        <v>0</v>
      </c>
      <c r="D41" s="0" t="n">
        <v>0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3" t="n">
        <v>5</v>
      </c>
      <c r="AA41" s="1" t="s">
        <v>52</v>
      </c>
      <c r="AB41" s="3" t="n">
        <v>5</v>
      </c>
    </row>
    <row r="42" customFormat="false" ht="13.8" hidden="false" customHeight="false" outlineLevel="0" collapsed="false">
      <c r="A42" s="1" t="s">
        <v>53</v>
      </c>
      <c r="B42" s="0" t="n">
        <v>0</v>
      </c>
      <c r="C42" s="0" t="n">
        <v>0</v>
      </c>
      <c r="D42" s="0" t="n">
        <v>0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3" t="n">
        <v>5</v>
      </c>
      <c r="AA42" s="1" t="s">
        <v>53</v>
      </c>
      <c r="AB42" s="3" t="n">
        <v>5</v>
      </c>
    </row>
    <row r="43" customFormat="false" ht="13.8" hidden="false" customHeight="false" outlineLevel="0" collapsed="false">
      <c r="A43" s="1" t="s">
        <v>54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3" t="n">
        <v>5</v>
      </c>
      <c r="AA43" s="1" t="s">
        <v>54</v>
      </c>
      <c r="AB43" s="3" t="n">
        <v>5</v>
      </c>
    </row>
    <row r="44" customFormat="false" ht="13.8" hidden="false" customHeight="false" outlineLevel="0" collapsed="false">
      <c r="A44" s="1" t="s">
        <v>55</v>
      </c>
      <c r="B44" s="0" t="n">
        <v>0</v>
      </c>
      <c r="C44" s="0" t="n">
        <v>0</v>
      </c>
      <c r="D44" s="0" t="n">
        <v>0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3" t="n">
        <v>5</v>
      </c>
      <c r="AA44" s="1" t="s">
        <v>55</v>
      </c>
      <c r="AB44" s="3" t="n">
        <v>5</v>
      </c>
    </row>
    <row r="45" customFormat="false" ht="13.8" hidden="false" customHeight="false" outlineLevel="0" collapsed="false">
      <c r="A45" s="1" t="s">
        <v>56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3" t="n">
        <v>5</v>
      </c>
      <c r="AA45" s="1" t="s">
        <v>56</v>
      </c>
      <c r="AB45" s="3" t="n">
        <v>5</v>
      </c>
    </row>
    <row r="46" customFormat="false" ht="13.8" hidden="false" customHeight="false" outlineLevel="0" collapsed="false">
      <c r="A46" s="1" t="s">
        <v>57</v>
      </c>
      <c r="B46" s="0" t="n">
        <v>1</v>
      </c>
      <c r="C46" s="0" t="n">
        <v>0</v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3" t="n">
        <v>6</v>
      </c>
      <c r="AA46" s="1" t="s">
        <v>57</v>
      </c>
      <c r="AB46" s="3" t="n">
        <v>6</v>
      </c>
    </row>
    <row r="47" customFormat="false" ht="13.8" hidden="false" customHeight="false" outlineLevel="0" collapsed="false">
      <c r="A47" s="1" t="s">
        <v>58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1</v>
      </c>
      <c r="L47" s="3" t="n">
        <v>6</v>
      </c>
      <c r="AA47" s="1" t="s">
        <v>58</v>
      </c>
      <c r="AB47" s="3" t="n">
        <v>6</v>
      </c>
    </row>
    <row r="48" customFormat="false" ht="13.8" hidden="false" customHeight="false" outlineLevel="0" collapsed="false">
      <c r="A48" s="1" t="s">
        <v>59</v>
      </c>
      <c r="B48" s="0" t="n">
        <v>0</v>
      </c>
      <c r="C48" s="0" t="n">
        <v>0</v>
      </c>
      <c r="D48" s="0" t="n">
        <v>0</v>
      </c>
      <c r="E48" s="0" t="n">
        <v>1</v>
      </c>
      <c r="F48" s="0" t="n">
        <v>2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3" t="n">
        <v>6</v>
      </c>
      <c r="AA48" s="1" t="s">
        <v>59</v>
      </c>
      <c r="AB48" s="3" t="n">
        <v>6</v>
      </c>
    </row>
    <row r="49" customFormat="false" ht="13.8" hidden="false" customHeight="false" outlineLevel="0" collapsed="false">
      <c r="A49" s="1" t="s">
        <v>60</v>
      </c>
      <c r="B49" s="0" t="n">
        <v>0</v>
      </c>
      <c r="C49" s="0" t="n">
        <v>0</v>
      </c>
      <c r="D49" s="0" t="n">
        <v>0</v>
      </c>
      <c r="E49" s="0" t="n">
        <v>1</v>
      </c>
      <c r="F49" s="0" t="n">
        <v>2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3" t="n">
        <v>6</v>
      </c>
      <c r="AA49" s="1" t="s">
        <v>60</v>
      </c>
      <c r="AB49" s="3" t="n">
        <v>6</v>
      </c>
    </row>
    <row r="50" customFormat="false" ht="13.8" hidden="false" customHeight="false" outlineLevel="0" collapsed="false">
      <c r="A50" s="1" t="s">
        <v>61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0</v>
      </c>
      <c r="L50" s="3" t="n">
        <v>6</v>
      </c>
      <c r="AA50" s="1" t="s">
        <v>61</v>
      </c>
      <c r="AB50" s="3" t="n">
        <v>6</v>
      </c>
    </row>
    <row r="51" customFormat="false" ht="13.8" hidden="false" customHeight="false" outlineLevel="0" collapsed="false">
      <c r="A51" s="1" t="s">
        <v>62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0</v>
      </c>
      <c r="L51" s="3" t="n">
        <v>6</v>
      </c>
      <c r="AA51" s="1" t="s">
        <v>62</v>
      </c>
      <c r="AB51" s="3" t="n">
        <v>6</v>
      </c>
    </row>
    <row r="52" customFormat="false" ht="13.8" hidden="false" customHeight="false" outlineLevel="0" collapsed="false">
      <c r="A52" s="1" t="s">
        <v>63</v>
      </c>
      <c r="B52" s="0" t="n">
        <v>0</v>
      </c>
      <c r="C52" s="0" t="n">
        <v>0</v>
      </c>
      <c r="D52" s="0" t="n">
        <v>0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</v>
      </c>
      <c r="L52" s="3" t="n">
        <v>6</v>
      </c>
      <c r="AA52" s="1" t="s">
        <v>63</v>
      </c>
      <c r="AB52" s="3" t="n">
        <v>6</v>
      </c>
    </row>
    <row r="53" customFormat="false" ht="13.8" hidden="false" customHeight="false" outlineLevel="0" collapsed="false">
      <c r="A53" s="1" t="s">
        <v>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0</v>
      </c>
      <c r="L53" s="3" t="n">
        <v>7</v>
      </c>
      <c r="AA53" s="1" t="s">
        <v>64</v>
      </c>
      <c r="AB53" s="3" t="n">
        <v>7</v>
      </c>
    </row>
    <row r="54" customFormat="false" ht="13.8" hidden="false" customHeight="false" outlineLevel="0" collapsed="false">
      <c r="A54" s="1" t="s">
        <v>65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2</v>
      </c>
      <c r="I54" s="0" t="n">
        <v>2</v>
      </c>
      <c r="J54" s="0" t="n">
        <v>0</v>
      </c>
      <c r="K54" s="0" t="n">
        <v>0</v>
      </c>
      <c r="L54" s="3" t="n">
        <v>7</v>
      </c>
      <c r="AA54" s="1" t="s">
        <v>65</v>
      </c>
      <c r="AB54" s="3" t="n">
        <v>7</v>
      </c>
    </row>
    <row r="55" customFormat="false" ht="13.8" hidden="false" customHeight="false" outlineLevel="0" collapsed="false">
      <c r="A55" s="1" t="s">
        <v>66</v>
      </c>
      <c r="B55" s="0" t="n">
        <v>0</v>
      </c>
      <c r="C55" s="0" t="n">
        <v>0</v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0</v>
      </c>
      <c r="L55" s="3" t="n">
        <v>7</v>
      </c>
      <c r="AA55" s="1" t="s">
        <v>66</v>
      </c>
      <c r="AB55" s="3" t="n">
        <v>7</v>
      </c>
    </row>
    <row r="56" customFormat="false" ht="13.8" hidden="false" customHeight="false" outlineLevel="0" collapsed="false">
      <c r="A56" s="1" t="s">
        <v>67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2</v>
      </c>
      <c r="G56" s="0" t="n">
        <v>4</v>
      </c>
      <c r="H56" s="0" t="n">
        <v>0</v>
      </c>
      <c r="I56" s="0" t="n">
        <v>2</v>
      </c>
      <c r="J56" s="0" t="n">
        <v>0</v>
      </c>
      <c r="K56" s="0" t="n">
        <v>0</v>
      </c>
      <c r="L56" s="3" t="n">
        <v>8</v>
      </c>
      <c r="AA56" s="1" t="s">
        <v>67</v>
      </c>
      <c r="AB56" s="3" t="n">
        <v>8</v>
      </c>
    </row>
    <row r="57" customFormat="false" ht="13.8" hidden="false" customHeight="false" outlineLevel="0" collapsed="false">
      <c r="A57" s="1" t="s">
        <v>68</v>
      </c>
      <c r="B57" s="0" t="n">
        <v>1</v>
      </c>
      <c r="C57" s="0" t="n">
        <v>0</v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0</v>
      </c>
      <c r="I57" s="0" t="n">
        <v>2</v>
      </c>
      <c r="J57" s="0" t="n">
        <v>0</v>
      </c>
      <c r="K57" s="0" t="n">
        <v>1</v>
      </c>
      <c r="L57" s="3" t="n">
        <v>8</v>
      </c>
      <c r="AA57" s="1" t="s">
        <v>68</v>
      </c>
      <c r="AB57" s="3" t="n">
        <v>8</v>
      </c>
    </row>
    <row r="58" customFormat="false" ht="13.8" hidden="false" customHeight="false" outlineLevel="0" collapsed="false">
      <c r="A58" s="1" t="s">
        <v>69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2</v>
      </c>
      <c r="I58" s="0" t="n">
        <v>2</v>
      </c>
      <c r="J58" s="0" t="n">
        <v>0</v>
      </c>
      <c r="K58" s="0" t="n">
        <v>0</v>
      </c>
      <c r="L58" s="3" t="n">
        <v>8</v>
      </c>
      <c r="AA58" s="1" t="s">
        <v>69</v>
      </c>
      <c r="AB58" s="3" t="n">
        <v>8</v>
      </c>
    </row>
    <row r="59" customFormat="false" ht="13.8" hidden="false" customHeight="false" outlineLevel="0" collapsed="false">
      <c r="A59" s="1" t="s">
        <v>70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0</v>
      </c>
      <c r="I59" s="0" t="n">
        <v>2</v>
      </c>
      <c r="J59" s="0" t="n">
        <v>0</v>
      </c>
      <c r="K59" s="0" t="n">
        <v>1</v>
      </c>
      <c r="L59" s="3" t="n">
        <v>8</v>
      </c>
      <c r="AA59" s="1" t="s">
        <v>70</v>
      </c>
      <c r="AB59" s="3" t="n">
        <v>8</v>
      </c>
    </row>
    <row r="60" customFormat="false" ht="13.8" hidden="false" customHeight="false" outlineLevel="0" collapsed="false">
      <c r="A60" s="1" t="s">
        <v>71</v>
      </c>
      <c r="B60" s="0" t="n">
        <v>0</v>
      </c>
      <c r="C60" s="0" t="n">
        <v>0</v>
      </c>
      <c r="D60" s="0" t="n">
        <v>0</v>
      </c>
      <c r="E60" s="0" t="n">
        <v>2</v>
      </c>
      <c r="F60" s="0" t="n">
        <v>2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0</v>
      </c>
      <c r="L60" s="3" t="n">
        <v>9</v>
      </c>
      <c r="AA60" s="1" t="s">
        <v>71</v>
      </c>
      <c r="AB60" s="3" t="n">
        <v>9</v>
      </c>
    </row>
    <row r="61" customFormat="false" ht="13.8" hidden="false" customHeight="false" outlineLevel="0" collapsed="false">
      <c r="A61" s="1" t="s">
        <v>72</v>
      </c>
      <c r="B61" s="0" t="n">
        <v>0</v>
      </c>
      <c r="C61" s="0" t="n">
        <v>0</v>
      </c>
      <c r="D61" s="0" t="n">
        <v>0</v>
      </c>
      <c r="E61" s="0" t="n">
        <v>1</v>
      </c>
      <c r="F61" s="0" t="n">
        <v>2</v>
      </c>
      <c r="G61" s="0" t="n">
        <v>1</v>
      </c>
      <c r="H61" s="0" t="n">
        <v>2</v>
      </c>
      <c r="I61" s="0" t="n">
        <v>2</v>
      </c>
      <c r="J61" s="0" t="n">
        <v>0</v>
      </c>
      <c r="K61" s="0" t="n">
        <v>1</v>
      </c>
      <c r="L61" s="3" t="n">
        <v>9</v>
      </c>
      <c r="AA61" s="1" t="s">
        <v>72</v>
      </c>
      <c r="AB61" s="3" t="n">
        <v>9</v>
      </c>
    </row>
    <row r="62" customFormat="false" ht="13.8" hidden="false" customHeight="false" outlineLevel="0" collapsed="false">
      <c r="A62" s="1" t="s">
        <v>73</v>
      </c>
      <c r="B62" s="0" t="n">
        <v>0</v>
      </c>
      <c r="C62" s="0" t="n">
        <v>0</v>
      </c>
      <c r="D62" s="0" t="n">
        <v>0</v>
      </c>
      <c r="E62" s="0" t="n">
        <v>2</v>
      </c>
      <c r="F62" s="0" t="n">
        <v>0</v>
      </c>
      <c r="G62" s="0" t="n">
        <v>1</v>
      </c>
      <c r="H62" s="0" t="n">
        <v>2</v>
      </c>
      <c r="I62" s="0" t="n">
        <v>3</v>
      </c>
      <c r="J62" s="0" t="n">
        <v>0</v>
      </c>
      <c r="K62" s="0" t="n">
        <v>2</v>
      </c>
      <c r="L62" s="3" t="n">
        <v>10</v>
      </c>
      <c r="AA62" s="1" t="s">
        <v>73</v>
      </c>
      <c r="AB62" s="3" t="n">
        <v>10</v>
      </c>
    </row>
    <row r="63" customFormat="false" ht="13.8" hidden="false" customHeight="false" outlineLevel="0" collapsed="false">
      <c r="A63" s="1" t="s">
        <v>74</v>
      </c>
      <c r="B63" s="0" t="n">
        <v>0</v>
      </c>
      <c r="C63" s="0" t="n">
        <v>0</v>
      </c>
      <c r="D63" s="0" t="n">
        <v>0</v>
      </c>
      <c r="E63" s="0" t="n">
        <v>2</v>
      </c>
      <c r="F63" s="0" t="n">
        <v>1</v>
      </c>
      <c r="G63" s="0" t="n">
        <v>2</v>
      </c>
      <c r="H63" s="0" t="n">
        <v>3</v>
      </c>
      <c r="I63" s="0" t="n">
        <v>1</v>
      </c>
      <c r="J63" s="0" t="n">
        <v>0</v>
      </c>
      <c r="K63" s="0" t="n">
        <v>1</v>
      </c>
      <c r="L63" s="3" t="n">
        <v>10</v>
      </c>
      <c r="AA63" s="1" t="s">
        <v>74</v>
      </c>
      <c r="AB63" s="3" t="n">
        <v>10</v>
      </c>
    </row>
    <row r="64" customFormat="false" ht="13.8" hidden="false" customHeight="false" outlineLevel="0" collapsed="false">
      <c r="A64" s="1" t="s">
        <v>75</v>
      </c>
      <c r="B64" s="0" t="n">
        <v>1</v>
      </c>
      <c r="C64" s="0" t="n">
        <v>0</v>
      </c>
      <c r="D64" s="0" t="n">
        <v>0</v>
      </c>
      <c r="E64" s="0" t="n">
        <v>1</v>
      </c>
      <c r="F64" s="0" t="n">
        <v>2</v>
      </c>
      <c r="G64" s="0" t="n">
        <v>2</v>
      </c>
      <c r="H64" s="0" t="n">
        <v>2</v>
      </c>
      <c r="I64" s="0" t="n">
        <v>3</v>
      </c>
      <c r="J64" s="0" t="n">
        <v>0</v>
      </c>
      <c r="K64" s="0" t="n">
        <v>2</v>
      </c>
      <c r="L64" s="3" t="n">
        <v>13</v>
      </c>
      <c r="AA64" s="1" t="s">
        <v>75</v>
      </c>
      <c r="AB64" s="3" t="n">
        <v>13</v>
      </c>
    </row>
    <row r="65" customFormat="false" ht="13.8" hidden="false" customHeight="false" outlineLevel="0" collapsed="false">
      <c r="A65" s="1" t="s">
        <v>76</v>
      </c>
      <c r="B65" s="0" t="n">
        <v>0</v>
      </c>
      <c r="C65" s="0" t="n">
        <v>1</v>
      </c>
      <c r="D65" s="0" t="n">
        <v>0</v>
      </c>
      <c r="E65" s="0" t="n">
        <v>1</v>
      </c>
      <c r="F65" s="0" t="n">
        <v>1</v>
      </c>
      <c r="G65" s="0" t="n">
        <v>3</v>
      </c>
      <c r="H65" s="0" t="n">
        <v>4</v>
      </c>
      <c r="I65" s="0" t="n">
        <v>1</v>
      </c>
      <c r="J65" s="0" t="n">
        <v>0</v>
      </c>
      <c r="K65" s="0" t="n">
        <v>2</v>
      </c>
      <c r="L65" s="3" t="n">
        <v>13</v>
      </c>
      <c r="AA65" s="1" t="s">
        <v>76</v>
      </c>
      <c r="AB65" s="3" t="n">
        <v>13</v>
      </c>
    </row>
    <row r="66" customFormat="false" ht="13.8" hidden="false" customHeight="false" outlineLevel="0" collapsed="false">
      <c r="A66" s="1" t="s">
        <v>77</v>
      </c>
      <c r="B66" s="0" t="n">
        <v>0</v>
      </c>
      <c r="C66" s="0" t="n">
        <v>0</v>
      </c>
      <c r="D66" s="0" t="n">
        <v>0</v>
      </c>
      <c r="E66" s="0" t="n">
        <v>4</v>
      </c>
      <c r="F66" s="0" t="n">
        <v>4</v>
      </c>
      <c r="G66" s="0" t="n">
        <v>3</v>
      </c>
      <c r="H66" s="0" t="n">
        <v>0</v>
      </c>
      <c r="I66" s="0" t="n">
        <v>3</v>
      </c>
      <c r="J66" s="0" t="n">
        <v>0</v>
      </c>
      <c r="K66" s="0" t="n">
        <v>0</v>
      </c>
      <c r="L66" s="3" t="n">
        <v>14</v>
      </c>
      <c r="AA66" s="1" t="s">
        <v>77</v>
      </c>
      <c r="AB66" s="3" t="n">
        <v>14</v>
      </c>
    </row>
    <row r="67" customFormat="false" ht="13.8" hidden="false" customHeight="false" outlineLevel="0" collapsed="false">
      <c r="A67" s="1" t="s">
        <v>78</v>
      </c>
      <c r="B67" s="0" t="n">
        <v>0</v>
      </c>
      <c r="C67" s="0" t="n">
        <v>2</v>
      </c>
      <c r="D67" s="0" t="n">
        <v>0</v>
      </c>
      <c r="E67" s="0" t="n">
        <v>2</v>
      </c>
      <c r="F67" s="0" t="n">
        <v>2</v>
      </c>
      <c r="G67" s="0" t="n">
        <v>2</v>
      </c>
      <c r="H67" s="0" t="n">
        <v>3</v>
      </c>
      <c r="I67" s="0" t="n">
        <v>3</v>
      </c>
      <c r="J67" s="0" t="n">
        <v>0</v>
      </c>
      <c r="K67" s="0" t="n">
        <v>1</v>
      </c>
      <c r="L67" s="3" t="n">
        <v>15</v>
      </c>
      <c r="AA67" s="1" t="s">
        <v>78</v>
      </c>
      <c r="AB67" s="3" t="n">
        <v>15</v>
      </c>
    </row>
    <row r="68" customFormat="false" ht="13.8" hidden="false" customHeight="false" outlineLevel="0" collapsed="false">
      <c r="A68" s="1" t="s">
        <v>79</v>
      </c>
      <c r="B68" s="0" t="n">
        <v>0</v>
      </c>
      <c r="C68" s="0" t="n">
        <v>1</v>
      </c>
      <c r="D68" s="0" t="n">
        <v>0</v>
      </c>
      <c r="E68" s="0" t="n">
        <v>2</v>
      </c>
      <c r="F68" s="0" t="n">
        <v>4</v>
      </c>
      <c r="G68" s="0" t="n">
        <v>4</v>
      </c>
      <c r="H68" s="0" t="n">
        <v>0</v>
      </c>
      <c r="I68" s="0" t="n">
        <v>2</v>
      </c>
      <c r="J68" s="0" t="n">
        <v>0</v>
      </c>
      <c r="K68" s="0" t="n">
        <v>5</v>
      </c>
      <c r="L68" s="3" t="n">
        <v>18</v>
      </c>
      <c r="AA68" s="1" t="s">
        <v>79</v>
      </c>
      <c r="AB68" s="3" t="n">
        <v>18</v>
      </c>
    </row>
    <row r="69" customFormat="false" ht="13.8" hidden="false" customHeight="false" outlineLevel="0" collapsed="false">
      <c r="A69" s="1" t="s">
        <v>80</v>
      </c>
      <c r="B69" s="0" t="n">
        <v>0</v>
      </c>
      <c r="C69" s="0" t="n">
        <v>0</v>
      </c>
      <c r="D69" s="0" t="n">
        <v>0</v>
      </c>
      <c r="E69" s="0" t="n">
        <v>3</v>
      </c>
      <c r="F69" s="0" t="n">
        <v>4</v>
      </c>
      <c r="G69" s="0" t="n">
        <v>9</v>
      </c>
      <c r="H69" s="0" t="n">
        <v>1</v>
      </c>
      <c r="I69" s="0" t="n">
        <v>4</v>
      </c>
      <c r="J69" s="0" t="n">
        <v>0</v>
      </c>
      <c r="K69" s="0" t="n">
        <v>0</v>
      </c>
      <c r="L69" s="3" t="n">
        <v>21</v>
      </c>
      <c r="AA69" s="1" t="s">
        <v>80</v>
      </c>
      <c r="AB69" s="3" t="n">
        <v>21</v>
      </c>
    </row>
    <row r="70" customFormat="false" ht="13.8" hidden="false" customHeight="false" outlineLevel="0" collapsed="false">
      <c r="A70" s="1" t="s">
        <v>81</v>
      </c>
      <c r="B70" s="0" t="n">
        <v>1</v>
      </c>
      <c r="C70" s="0" t="n">
        <v>0</v>
      </c>
      <c r="D70" s="0" t="n">
        <v>0</v>
      </c>
      <c r="E70" s="0" t="n">
        <v>3</v>
      </c>
      <c r="F70" s="0" t="n">
        <v>3</v>
      </c>
      <c r="G70" s="0" t="n">
        <v>9</v>
      </c>
      <c r="H70" s="0" t="n">
        <v>3</v>
      </c>
      <c r="I70" s="0" t="n">
        <v>4</v>
      </c>
      <c r="J70" s="0" t="n">
        <v>0</v>
      </c>
      <c r="K70" s="0" t="n">
        <v>4</v>
      </c>
      <c r="L70" s="3" t="n">
        <v>27</v>
      </c>
      <c r="AA70" s="1" t="s">
        <v>81</v>
      </c>
      <c r="AB70" s="3" t="n">
        <v>27</v>
      </c>
    </row>
    <row r="71" customFormat="false" ht="13.8" hidden="false" customHeight="false" outlineLevel="0" collapsed="false">
      <c r="A71" s="5" t="s">
        <v>11</v>
      </c>
      <c r="B71" s="6" t="n">
        <f aca="false">SUM(B2:B70)</f>
        <v>4</v>
      </c>
      <c r="C71" s="6" t="n">
        <f aca="false">SUM(C2:C70)</f>
        <v>8</v>
      </c>
      <c r="D71" s="6" t="n">
        <f aca="false">SUM(D2:D70)</f>
        <v>1</v>
      </c>
      <c r="E71" s="6" t="n">
        <f aca="false">SUM(E2:E70)</f>
        <v>43</v>
      </c>
      <c r="F71" s="6" t="n">
        <f aca="false">SUM(F2:F70)</f>
        <v>60</v>
      </c>
      <c r="G71" s="6" t="n">
        <f aca="false">SUM(G2:G70)</f>
        <v>105</v>
      </c>
      <c r="H71" s="6" t="n">
        <f aca="false">SUM(H2:H70)</f>
        <v>46</v>
      </c>
      <c r="I71" s="6" t="n">
        <f aca="false">SUM(I2:I70)</f>
        <v>69</v>
      </c>
      <c r="J71" s="6" t="n">
        <f aca="false">SUM(J2:J70)</f>
        <v>1</v>
      </c>
      <c r="K71" s="6" t="n">
        <f aca="false">SUM(K2:K70)</f>
        <v>27</v>
      </c>
      <c r="L71" s="7" t="n">
        <f aca="false">SUM(L2:L70)</f>
        <v>364</v>
      </c>
    </row>
    <row r="7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2026-05-12T13:36:19Z</dcterms:created>
  <dc:creator>openpyxl</dc:creator>
  <dc:description/>
  <dc:language>pt-BR</dc:language>
  <cp:lastModifiedBy/>
  <dcterms:modified xsi:type="dcterms:W3CDTF">2026-05-15T09:42:55Z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