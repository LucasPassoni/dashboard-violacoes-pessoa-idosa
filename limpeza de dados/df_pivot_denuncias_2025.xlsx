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5" sheetId="1" state="visible" r:id="rId2"/>
    <sheet name="2023-2025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<sst xmlns="http://schemas.openxmlformats.org/spreadsheetml/2006/main" count="208" uniqueCount="82">
  <si>
    <t xml:space="preserve">bairro</t>
  </si>
  <si>
    <t xml:space="preserve">Abandono</t>
  </si>
  <si>
    <t xml:space="preserve">Cárcere Privado</t>
  </si>
  <si>
    <t xml:space="preserve">Direitos Civis</t>
  </si>
  <si>
    <t xml:space="preserve">Discriminação</t>
  </si>
  <si>
    <t xml:space="preserve">Física</t>
  </si>
  <si>
    <t xml:space="preserve">Intolerância</t>
  </si>
  <si>
    <t xml:space="preserve">Maus Tratos</t>
  </si>
  <si>
    <t xml:space="preserve">Moral</t>
  </si>
  <si>
    <t xml:space="preserve">Negligência</t>
  </si>
  <si>
    <t xml:space="preserve">Patrimonial</t>
  </si>
  <si>
    <t xml:space="preserve">Políticos</t>
  </si>
  <si>
    <t xml:space="preserve">Psicológica</t>
  </si>
  <si>
    <t xml:space="preserve">Total</t>
  </si>
  <si>
    <t xml:space="preserve">Jardim Montreal</t>
  </si>
  <si>
    <t xml:space="preserve">Jardim Real</t>
  </si>
  <si>
    <t xml:space="preserve">Jardim Licce</t>
  </si>
  <si>
    <t xml:space="preserve">Vila Progresso</t>
  </si>
  <si>
    <t xml:space="preserve">Zona 7</t>
  </si>
  <si>
    <t xml:space="preserve">Conjunto Habitacional João de Barro Thaís</t>
  </si>
  <si>
    <t xml:space="preserve">Conjunto Residencial Parigot de Souza</t>
  </si>
  <si>
    <t xml:space="preserve">Zona 04</t>
  </si>
  <si>
    <t xml:space="preserve">Conjunto Habitacional Pioneiro José Pires De Oliveira</t>
  </si>
  <si>
    <t xml:space="preserve">Conjunto Residencial Paulino Carlos Filho</t>
  </si>
  <si>
    <t xml:space="preserve">Jardim Colina Verde</t>
  </si>
  <si>
    <t xml:space="preserve">Jardim Dourados</t>
  </si>
  <si>
    <t xml:space="preserve">Jardim Itália</t>
  </si>
  <si>
    <t xml:space="preserve">Jardim Lucianópolis</t>
  </si>
  <si>
    <t xml:space="preserve">Jardim Monte Rei</t>
  </si>
  <si>
    <t xml:space="preserve">Jardim Novo Oasis</t>
  </si>
  <si>
    <t xml:space="preserve">Jardim Olímpico</t>
  </si>
  <si>
    <t xml:space="preserve">Jardim São Silvestre</t>
  </si>
  <si>
    <t xml:space="preserve">Jardim Universo</t>
  </si>
  <si>
    <t xml:space="preserve">Loteamento Madrid</t>
  </si>
  <si>
    <t xml:space="preserve">Parque Residencial Tuiuti</t>
  </si>
  <si>
    <t xml:space="preserve">Parque das Bandeiras </t>
  </si>
  <si>
    <t xml:space="preserve">Parque das Laranjeiras</t>
  </si>
  <si>
    <t xml:space="preserve">Conjunto Habitacional Inocente Vila Nova Júnior</t>
  </si>
  <si>
    <t xml:space="preserve">Conjunto Habitacional Inocente Villanova Júnior</t>
  </si>
  <si>
    <t xml:space="preserve">Jardim América</t>
  </si>
  <si>
    <t xml:space="preserve">Jardim Cidade Monções</t>
  </si>
  <si>
    <t xml:space="preserve">Jardim Imperial I</t>
  </si>
  <si>
    <t xml:space="preserve">Jardim Oriental</t>
  </si>
  <si>
    <t xml:space="preserve">Vila Operária</t>
  </si>
  <si>
    <t xml:space="preserve">Centro</t>
  </si>
  <si>
    <t xml:space="preserve">Conjunto Batel</t>
  </si>
  <si>
    <t xml:space="preserve">Conjunto Ney Braga</t>
  </si>
  <si>
    <t xml:space="preserve">Jardim Alamar</t>
  </si>
  <si>
    <t xml:space="preserve">Jardim Império do Sol</t>
  </si>
  <si>
    <t xml:space="preserve">Jardim Internorte</t>
  </si>
  <si>
    <t xml:space="preserve">Jardim Pinheiro</t>
  </si>
  <si>
    <t xml:space="preserve">Jardim Seminário</t>
  </si>
  <si>
    <t xml:space="preserve">Jardim da Glória</t>
  </si>
  <si>
    <t xml:space="preserve">Zona 02</t>
  </si>
  <si>
    <t xml:space="preserve">Zona 06</t>
  </si>
  <si>
    <t xml:space="preserve">Conjunto Residencial Champagnat</t>
  </si>
  <si>
    <t xml:space="preserve">Conjunto Residencial Cidade Alta</t>
  </si>
  <si>
    <t xml:space="preserve">Jardim Continental</t>
  </si>
  <si>
    <t xml:space="preserve">Não Informado</t>
  </si>
  <si>
    <t xml:space="preserve">Conjunto João de Barro Itaparica</t>
  </si>
  <si>
    <t xml:space="preserve">Parque Hortência</t>
  </si>
  <si>
    <t xml:space="preserve">Conjunto Habitacional Sanenge</t>
  </si>
  <si>
    <t xml:space="preserve">Jardim Maravilha</t>
  </si>
  <si>
    <t xml:space="preserve">Vila Santo Antônio</t>
  </si>
  <si>
    <t xml:space="preserve">Vila Esperança</t>
  </si>
  <si>
    <t xml:space="preserve">Jardim Mandacaru</t>
  </si>
  <si>
    <t xml:space="preserve">Parque Residencial Aeroporto</t>
  </si>
  <si>
    <t xml:space="preserve">Conjunto Habitacional Requião</t>
  </si>
  <si>
    <t xml:space="preserve">Jardim das Estações</t>
  </si>
  <si>
    <t xml:space="preserve">Zona 07</t>
  </si>
  <si>
    <t xml:space="preserve">Parque Residencial Cidade Nova</t>
  </si>
  <si>
    <t xml:space="preserve">Jardim Alvorada</t>
  </si>
  <si>
    <t xml:space="preserve">Vila Morangueira</t>
  </si>
  <si>
    <t xml:space="preserve">Violencia</t>
  </si>
  <si>
    <t xml:space="preserve">Acumulado</t>
  </si>
  <si>
    <t xml:space="preserve">Maus tratos</t>
  </si>
  <si>
    <t xml:space="preserve">Verbal</t>
  </si>
  <si>
    <t xml:space="preserve">Direitos Violados</t>
  </si>
  <si>
    <t xml:space="preserve">Sexual</t>
  </si>
  <si>
    <t xml:space="preserve">Simplificando</t>
  </si>
  <si>
    <t xml:space="preserve">Ano</t>
  </si>
  <si>
    <t xml:space="preserve">Nº Violações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</si>
</sst>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General"/>
    <numFmt numFmtId="167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D320"/>
      <rgbColor rgb="FFFF9900"/>
      <rgbColor rgb="FFFF420E"/>
      <rgbColor rgb="FF666666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.00%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'2025'!$Q$2:$Q$13</c:f>
              <c:strCache>
                <c:ptCount val="12"/>
                <c:pt idx="0">
                  <c:v>Psicológica</c:v>
                </c:pt>
                <c:pt idx="1">
                  <c:v>Abandono</c:v>
                </c:pt>
                <c:pt idx="2">
                  <c:v>Negligência</c:v>
                </c:pt>
                <c:pt idx="3">
                  <c:v>Maus Tratos</c:v>
                </c:pt>
                <c:pt idx="4">
                  <c:v>Física</c:v>
                </c:pt>
                <c:pt idx="5">
                  <c:v>Patrimonial</c:v>
                </c:pt>
                <c:pt idx="6">
                  <c:v>Moral</c:v>
                </c:pt>
                <c:pt idx="7">
                  <c:v>Cárcere Privado</c:v>
                </c:pt>
                <c:pt idx="8">
                  <c:v>Direitos Civis</c:v>
                </c:pt>
                <c:pt idx="9">
                  <c:v>Políticos</c:v>
                </c:pt>
                <c:pt idx="10">
                  <c:v>Discriminação</c:v>
                </c:pt>
                <c:pt idx="11">
                  <c:v>Intolerância</c:v>
                </c:pt>
              </c:strCache>
            </c:strRef>
          </c:cat>
          <c:val>
            <c:numRef>
              <c:f>'2025'!$R$2:$R$13</c:f>
              <c:numCache>
                <c:formatCode>General</c:formatCode>
                <c:ptCount val="12"/>
                <c:pt idx="0">
                  <c:v>0.3585313174946</c:v>
                </c:pt>
                <c:pt idx="1">
                  <c:v>0.168466522678186</c:v>
                </c:pt>
                <c:pt idx="2">
                  <c:v>0.168466522678186</c:v>
                </c:pt>
                <c:pt idx="3">
                  <c:v>0.125269978401728</c:v>
                </c:pt>
                <c:pt idx="4">
                  <c:v>0.0950323974082074</c:v>
                </c:pt>
                <c:pt idx="5">
                  <c:v>0.0539956803455724</c:v>
                </c:pt>
                <c:pt idx="6">
                  <c:v>0.0129589632829374</c:v>
                </c:pt>
                <c:pt idx="7">
                  <c:v>0.00431965442764579</c:v>
                </c:pt>
                <c:pt idx="8">
                  <c:v>0.00431965442764579</c:v>
                </c:pt>
                <c:pt idx="9">
                  <c:v>0.00431965442764579</c:v>
                </c:pt>
                <c:pt idx="10">
                  <c:v>0.00215982721382289</c:v>
                </c:pt>
                <c:pt idx="11">
                  <c:v>0.00215982721382289</c:v>
                </c:pt>
              </c:numCache>
            </c:numRef>
          </c:val>
        </c:ser>
        <c:gapWidth val="100"/>
        <c:overlap val="0"/>
        <c:axId val="6865896"/>
        <c:axId val="30862315"/>
      </c:barChart>
      <c:catAx>
        <c:axId val="6865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862315"/>
        <c:crosses val="autoZero"/>
        <c:auto val="1"/>
        <c:lblAlgn val="ctr"/>
        <c:lblOffset val="100"/>
        <c:noMultiLvlLbl val="0"/>
      </c:catAx>
      <c:valAx>
        <c:axId val="3086231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865896"/>
        <c:crossesAt val="1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'2025'!$AB$2:$AB$60</c:f>
              <c:strCache>
                <c:ptCount val="59"/>
                <c:pt idx="0">
                  <c:v>Jardim Montreal</c:v>
                </c:pt>
                <c:pt idx="1">
                  <c:v>Jardim Real</c:v>
                </c:pt>
                <c:pt idx="2">
                  <c:v>Jardim Licce</c:v>
                </c:pt>
                <c:pt idx="3">
                  <c:v>Vila Progresso</c:v>
                </c:pt>
                <c:pt idx="4">
                  <c:v>Zona 7</c:v>
                </c:pt>
                <c:pt idx="5">
                  <c:v>Conjunto Habitacional João de Barro Thaís</c:v>
                </c:pt>
                <c:pt idx="6">
                  <c:v>Conjunto Residencial Parigot de Souza</c:v>
                </c:pt>
                <c:pt idx="7">
                  <c:v>Zona 04</c:v>
                </c:pt>
                <c:pt idx="8">
                  <c:v>Conjunto Habitacional Pioneiro José Pires De Oliveira</c:v>
                </c:pt>
                <c:pt idx="9">
                  <c:v>Conjunto Residencial Paulino Carlos Filho</c:v>
                </c:pt>
                <c:pt idx="10">
                  <c:v>Jardim Colina Verde</c:v>
                </c:pt>
                <c:pt idx="11">
                  <c:v>Jardim Dourados</c:v>
                </c:pt>
                <c:pt idx="12">
                  <c:v>Jardim Itália</c:v>
                </c:pt>
                <c:pt idx="13">
                  <c:v>Jardim Lucianópolis</c:v>
                </c:pt>
                <c:pt idx="14">
                  <c:v>Jardim Monte Rei</c:v>
                </c:pt>
                <c:pt idx="15">
                  <c:v>Jardim Novo Oasis</c:v>
                </c:pt>
                <c:pt idx="16">
                  <c:v>Jardim Olímpico</c:v>
                </c:pt>
                <c:pt idx="17">
                  <c:v>Jardim São Silvestre</c:v>
                </c:pt>
                <c:pt idx="18">
                  <c:v>Jardim Universo</c:v>
                </c:pt>
                <c:pt idx="19">
                  <c:v>Loteamento Madrid</c:v>
                </c:pt>
                <c:pt idx="20">
                  <c:v>Parque Residencial Tuiuti</c:v>
                </c:pt>
                <c:pt idx="21">
                  <c:v>Parque das Bandeiras </c:v>
                </c:pt>
                <c:pt idx="22">
                  <c:v>Parque das Laranjeiras</c:v>
                </c:pt>
                <c:pt idx="23">
                  <c:v>Conjunto Habitacional Inocente Vila Nova Júnior</c:v>
                </c:pt>
                <c:pt idx="24">
                  <c:v>Conjunto Habitacional Inocente Villanova Júnior</c:v>
                </c:pt>
                <c:pt idx="25">
                  <c:v>Jardim América</c:v>
                </c:pt>
                <c:pt idx="26">
                  <c:v>Jardim Cidade Monções</c:v>
                </c:pt>
                <c:pt idx="27">
                  <c:v>Jardim Imperial I</c:v>
                </c:pt>
                <c:pt idx="28">
                  <c:v>Jardim Oriental</c:v>
                </c:pt>
                <c:pt idx="29">
                  <c:v>Vila Operária</c:v>
                </c:pt>
                <c:pt idx="30">
                  <c:v>Centro</c:v>
                </c:pt>
                <c:pt idx="31">
                  <c:v>Conjunto Batel</c:v>
                </c:pt>
                <c:pt idx="32">
                  <c:v>Conjunto Ney Braga</c:v>
                </c:pt>
                <c:pt idx="33">
                  <c:v>Jardim Alamar</c:v>
                </c:pt>
                <c:pt idx="34">
                  <c:v>Jardim Império do Sol</c:v>
                </c:pt>
                <c:pt idx="35">
                  <c:v>Jardim Internorte</c:v>
                </c:pt>
                <c:pt idx="36">
                  <c:v>Jardim Pinheiro</c:v>
                </c:pt>
                <c:pt idx="37">
                  <c:v>Jardim Seminário</c:v>
                </c:pt>
                <c:pt idx="38">
                  <c:v>Jardim da Glória</c:v>
                </c:pt>
                <c:pt idx="39">
                  <c:v>Zona 02</c:v>
                </c:pt>
                <c:pt idx="40">
                  <c:v>Zona 06</c:v>
                </c:pt>
                <c:pt idx="41">
                  <c:v>Conjunto Residencial Champagnat</c:v>
                </c:pt>
                <c:pt idx="42">
                  <c:v>Conjunto Residencial Cidade Alta</c:v>
                </c:pt>
                <c:pt idx="43">
                  <c:v>Jardim Continental</c:v>
                </c:pt>
                <c:pt idx="44">
                  <c:v>Não Informado</c:v>
                </c:pt>
                <c:pt idx="45">
                  <c:v>Conjunto João de Barro Itaparica</c:v>
                </c:pt>
                <c:pt idx="46">
                  <c:v>Parque Hortência</c:v>
                </c:pt>
                <c:pt idx="47">
                  <c:v>Conjunto Habitacional Sanenge</c:v>
                </c:pt>
                <c:pt idx="48">
                  <c:v>Jardim Maravilha</c:v>
                </c:pt>
                <c:pt idx="49">
                  <c:v>Vila Santo Antônio</c:v>
                </c:pt>
                <c:pt idx="50">
                  <c:v>Vila Esperança</c:v>
                </c:pt>
                <c:pt idx="51">
                  <c:v>Jardim Mandacaru</c:v>
                </c:pt>
                <c:pt idx="52">
                  <c:v>Parque Residencial Aeroporto</c:v>
                </c:pt>
                <c:pt idx="53">
                  <c:v>Conjunto Habitacional Requião</c:v>
                </c:pt>
                <c:pt idx="54">
                  <c:v>Jardim das Estações</c:v>
                </c:pt>
                <c:pt idx="55">
                  <c:v>Zona 07</c:v>
                </c:pt>
                <c:pt idx="56">
                  <c:v>Parque Residencial Cidade Nova</c:v>
                </c:pt>
                <c:pt idx="57">
                  <c:v>Jardim Alvorada</c:v>
                </c:pt>
                <c:pt idx="58">
                  <c:v>Vila Morangueira</c:v>
                </c:pt>
              </c:strCache>
            </c:strRef>
          </c:cat>
          <c:val>
            <c:numRef>
              <c:f>'2025'!$AC$2:$AC$60</c:f>
              <c:numCache>
                <c:formatCode>General</c:formatCode>
                <c:ptCount val="5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9</c:v>
                </c:pt>
                <c:pt idx="46">
                  <c:v>9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11</c:v>
                </c:pt>
                <c:pt idx="51">
                  <c:v>12</c:v>
                </c:pt>
                <c:pt idx="52">
                  <c:v>14</c:v>
                </c:pt>
                <c:pt idx="53">
                  <c:v>16</c:v>
                </c:pt>
                <c:pt idx="54">
                  <c:v>20</c:v>
                </c:pt>
                <c:pt idx="55">
                  <c:v>23</c:v>
                </c:pt>
                <c:pt idx="56">
                  <c:v>28</c:v>
                </c:pt>
                <c:pt idx="57">
                  <c:v>35</c:v>
                </c:pt>
                <c:pt idx="58">
                  <c:v>50</c:v>
                </c:pt>
              </c:numCache>
            </c:numRef>
          </c:val>
        </c:ser>
        <c:gapWidth val="100"/>
        <c:overlap val="0"/>
        <c:axId val="67092472"/>
        <c:axId val="45840371"/>
      </c:barChart>
      <c:catAx>
        <c:axId val="67092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840371"/>
        <c:crosses val="autoZero"/>
        <c:auto val="1"/>
        <c:lblAlgn val="ctr"/>
        <c:lblOffset val="100"/>
        <c:noMultiLvlLbl val="0"/>
      </c:catAx>
      <c:valAx>
        <c:axId val="4584037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092472"/>
        <c:crosses val="autoZero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'2023-2025'!$B$1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'2023-2025'!$A$2:$A$15</c:f>
              <c:strCache>
                <c:ptCount val="14"/>
                <c:pt idx="0">
                  <c:v>Psicológica</c:v>
                </c:pt>
                <c:pt idx="1">
                  <c:v>Negligência</c:v>
                </c:pt>
                <c:pt idx="2">
                  <c:v>Maus tratos</c:v>
                </c:pt>
                <c:pt idx="3">
                  <c:v>Física</c:v>
                </c:pt>
                <c:pt idx="4">
                  <c:v>Patrimonial</c:v>
                </c:pt>
                <c:pt idx="5">
                  <c:v>Abandono</c:v>
                </c:pt>
                <c:pt idx="6">
                  <c:v>Verbal</c:v>
                </c:pt>
                <c:pt idx="7">
                  <c:v>Direitos Violados</c:v>
                </c:pt>
                <c:pt idx="8">
                  <c:v>Cárcere Privado</c:v>
                </c:pt>
                <c:pt idx="9">
                  <c:v>Sexual</c:v>
                </c:pt>
                <c:pt idx="10">
                  <c:v>Discriminação</c:v>
                </c:pt>
                <c:pt idx="11">
                  <c:v>Direitos Civis</c:v>
                </c:pt>
                <c:pt idx="12">
                  <c:v>Políticos</c:v>
                </c:pt>
                <c:pt idx="13">
                  <c:v>Intolerância</c:v>
                </c:pt>
              </c:strCache>
            </c:strRef>
          </c:cat>
          <c:val>
            <c:numRef>
              <c:f>'2023-2025'!$B$2:$B$15</c:f>
              <c:numCache>
                <c:formatCode>General</c:formatCode>
                <c:ptCount val="14"/>
                <c:pt idx="0">
                  <c:v>0.222826086956522</c:v>
                </c:pt>
                <c:pt idx="1">
                  <c:v>0.271739130434783</c:v>
                </c:pt>
                <c:pt idx="2">
                  <c:v>0.108695652173913</c:v>
                </c:pt>
                <c:pt idx="3">
                  <c:v>0.130434782608696</c:v>
                </c:pt>
                <c:pt idx="4">
                  <c:v>0.152173913043478</c:v>
                </c:pt>
                <c:pt idx="6">
                  <c:v>0.0489130434782609</c:v>
                </c:pt>
                <c:pt idx="7">
                  <c:v>0.0271739130434783</c:v>
                </c:pt>
                <c:pt idx="8">
                  <c:v>0.0326086956521739</c:v>
                </c:pt>
                <c:pt idx="9">
                  <c:v>0.00543478260869565</c:v>
                </c:pt>
              </c:numCache>
            </c:numRef>
          </c:val>
        </c:ser>
        <c:ser>
          <c:idx val="1"/>
          <c:order val="1"/>
          <c:tx>
            <c:strRef>
              <c:f>'2023-2025'!$C$1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'2023-2025'!$A$2:$A$15</c:f>
              <c:strCache>
                <c:ptCount val="14"/>
                <c:pt idx="0">
                  <c:v>Psicológica</c:v>
                </c:pt>
                <c:pt idx="1">
                  <c:v>Negligência</c:v>
                </c:pt>
                <c:pt idx="2">
                  <c:v>Maus tratos</c:v>
                </c:pt>
                <c:pt idx="3">
                  <c:v>Física</c:v>
                </c:pt>
                <c:pt idx="4">
                  <c:v>Patrimonial</c:v>
                </c:pt>
                <c:pt idx="5">
                  <c:v>Abandono</c:v>
                </c:pt>
                <c:pt idx="6">
                  <c:v>Verbal</c:v>
                </c:pt>
                <c:pt idx="7">
                  <c:v>Direitos Violados</c:v>
                </c:pt>
                <c:pt idx="8">
                  <c:v>Cárcere Privado</c:v>
                </c:pt>
                <c:pt idx="9">
                  <c:v>Sexual</c:v>
                </c:pt>
                <c:pt idx="10">
                  <c:v>Discriminação</c:v>
                </c:pt>
                <c:pt idx="11">
                  <c:v>Direitos Civis</c:v>
                </c:pt>
                <c:pt idx="12">
                  <c:v>Políticos</c:v>
                </c:pt>
                <c:pt idx="13">
                  <c:v>Intolerância</c:v>
                </c:pt>
              </c:strCache>
            </c:strRef>
          </c:cat>
          <c:val>
            <c:numRef>
              <c:f>'2023-2025'!$C$2:$C$15</c:f>
              <c:numCache>
                <c:formatCode>General</c:formatCode>
                <c:ptCount val="14"/>
                <c:pt idx="0">
                  <c:v>0.18956043956044</c:v>
                </c:pt>
                <c:pt idx="1">
                  <c:v>0.288461538461538</c:v>
                </c:pt>
                <c:pt idx="2">
                  <c:v>0.164835164835165</c:v>
                </c:pt>
                <c:pt idx="3">
                  <c:v>0.118131868131868</c:v>
                </c:pt>
                <c:pt idx="4">
                  <c:v>0.126373626373626</c:v>
                </c:pt>
                <c:pt idx="6">
                  <c:v>0.0741758241758242</c:v>
                </c:pt>
                <c:pt idx="7">
                  <c:v>0.021978021978022</c:v>
                </c:pt>
                <c:pt idx="8">
                  <c:v>0.010989010989011</c:v>
                </c:pt>
                <c:pt idx="9">
                  <c:v>0.00274725274725275</c:v>
                </c:pt>
                <c:pt idx="10">
                  <c:v>0.00274725274725275</c:v>
                </c:pt>
              </c:numCache>
            </c:numRef>
          </c:val>
        </c:ser>
        <c:ser>
          <c:idx val="2"/>
          <c:order val="2"/>
          <c:tx>
            <c:strRef>
              <c:f>'2023-2025'!$D$1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'2023-2025'!$A$2:$A$15</c:f>
              <c:strCache>
                <c:ptCount val="14"/>
                <c:pt idx="0">
                  <c:v>Psicológica</c:v>
                </c:pt>
                <c:pt idx="1">
                  <c:v>Negligência</c:v>
                </c:pt>
                <c:pt idx="2">
                  <c:v>Maus tratos</c:v>
                </c:pt>
                <c:pt idx="3">
                  <c:v>Física</c:v>
                </c:pt>
                <c:pt idx="4">
                  <c:v>Patrimonial</c:v>
                </c:pt>
                <c:pt idx="5">
                  <c:v>Abandono</c:v>
                </c:pt>
                <c:pt idx="6">
                  <c:v>Verbal</c:v>
                </c:pt>
                <c:pt idx="7">
                  <c:v>Direitos Violados</c:v>
                </c:pt>
                <c:pt idx="8">
                  <c:v>Cárcere Privado</c:v>
                </c:pt>
                <c:pt idx="9">
                  <c:v>Sexual</c:v>
                </c:pt>
                <c:pt idx="10">
                  <c:v>Discriminação</c:v>
                </c:pt>
                <c:pt idx="11">
                  <c:v>Direitos Civis</c:v>
                </c:pt>
                <c:pt idx="12">
                  <c:v>Políticos</c:v>
                </c:pt>
                <c:pt idx="13">
                  <c:v>Intolerância</c:v>
                </c:pt>
              </c:strCache>
            </c:strRef>
          </c:cat>
          <c:val>
            <c:numRef>
              <c:f>'2023-2025'!$D$2:$D$15</c:f>
              <c:numCache>
                <c:formatCode>General</c:formatCode>
                <c:ptCount val="14"/>
                <c:pt idx="0">
                  <c:v>0.3585313174946</c:v>
                </c:pt>
                <c:pt idx="1">
                  <c:v>0.168466522678186</c:v>
                </c:pt>
                <c:pt idx="2">
                  <c:v>0.125269978401728</c:v>
                </c:pt>
                <c:pt idx="3">
                  <c:v>0.0950323974082074</c:v>
                </c:pt>
                <c:pt idx="4">
                  <c:v>0.0539956803455724</c:v>
                </c:pt>
                <c:pt idx="5">
                  <c:v>0.168466522678186</c:v>
                </c:pt>
                <c:pt idx="6">
                  <c:v>0.0129589632829374</c:v>
                </c:pt>
                <c:pt idx="8">
                  <c:v>0.00431965442764579</c:v>
                </c:pt>
                <c:pt idx="10">
                  <c:v>0.00215982721382289</c:v>
                </c:pt>
                <c:pt idx="11">
                  <c:v>0.00431965442764579</c:v>
                </c:pt>
                <c:pt idx="12">
                  <c:v>0.00431965442764579</c:v>
                </c:pt>
                <c:pt idx="13">
                  <c:v>0.00215982721382289</c:v>
                </c:pt>
              </c:numCache>
            </c:numRef>
          </c:val>
        </c:ser>
        <c:gapWidth val="100"/>
        <c:overlap val="100"/>
        <c:axId val="78755674"/>
        <c:axId val="21926967"/>
      </c:barChart>
      <c:catAx>
        <c:axId val="787556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926967"/>
        <c:crosses val="autoZero"/>
        <c:auto val="1"/>
        <c:lblAlgn val="ctr"/>
        <c:lblOffset val="100"/>
        <c:noMultiLvlLbl val="0"/>
      </c:catAx>
      <c:valAx>
        <c:axId val="21926967"/>
        <c:scaling>
          <c:orientation val="minMax"/>
          <c:max val="1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755674"/>
        <c:crossesAt val="1"/>
        <c:crossBetween val="between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'2023-2025'!$H$36</c:f>
              <c:strCache>
                <c:ptCount val="1"/>
                <c:pt idx="0">
                  <c:v>Nº Violações</c:v>
                </c:pt>
              </c:strCache>
            </c:strRef>
          </c:tx>
          <c:spPr>
            <a:solidFill>
              <a:srgbClr val="3465a4"/>
            </a:solidFill>
            <a:ln w="18000">
              <a:solidFill>
                <a:srgbClr val="3465a4"/>
              </a:solidFill>
              <a:round/>
            </a:ln>
          </c:spPr>
          <c:marker>
            <c:symbol val="square"/>
            <c:size val="8"/>
            <c:spPr>
              <a:solidFill>
                <a:srgbClr val="3465a4"/>
              </a:solidFill>
            </c:spPr>
          </c:marker>
          <c:dLbls>
            <c:numFmt formatCode="General" sourceLinked="0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 </c:separator>
            <c:showLeaderLines val="0"/>
          </c:dLbls>
          <c:cat>
            <c:strRef>
              <c:f>'2023-2025'!$G$37:$G$39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'2023-2025'!$H$37:$H$39</c:f>
              <c:numCache>
                <c:formatCode>General</c:formatCode>
                <c:ptCount val="3"/>
                <c:pt idx="0">
                  <c:v>184</c:v>
                </c:pt>
                <c:pt idx="1">
                  <c:v>364</c:v>
                </c:pt>
                <c:pt idx="2">
                  <c:v>463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1"/>
        <c:axId val="43320071"/>
        <c:axId val="18455518"/>
      </c:lineChart>
      <c:catAx>
        <c:axId val="43320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455518"/>
        <c:crosses val="autoZero"/>
        <c:auto val="1"/>
        <c:lblAlgn val="ctr"/>
        <c:lblOffset val="100"/>
        <c:noMultiLvlLbl val="0"/>
      </c:catAx>
      <c:valAx>
        <c:axId val="18455518"/>
        <c:scaling>
          <c:orientation val="minMax"/>
          <c:max val="1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320071"/>
        <c:crossesAt val="1"/>
        <c:crossBetween val="midCat"/>
      </c:valAx>
      <c:spPr>
        <a:noFill/>
        <a:ln>
          <a:solidFill>
            <a:srgbClr val="1c1c1c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18000">
      <a:solidFill>
        <a:srgbClr val="666666">
          <a:alpha val="80000"/>
        </a:srgbClr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285840</xdr:colOff>
      <xdr:row>0</xdr:row>
      <xdr:rowOff>132120</xdr:rowOff>
    </xdr:from>
    <xdr:to>
      <xdr:col>24</xdr:col>
      <xdr:colOff>364320</xdr:colOff>
      <xdr:row>20</xdr:row>
      <xdr:rowOff>113400</xdr:rowOff>
    </xdr:to>
    <xdr:graphicFrame>
      <xdr:nvGraphicFramePr>
        <xdr:cNvPr id="0" name=""/>
        <xdr:cNvGraphicFramePr/>
      </xdr:nvGraphicFramePr>
      <xdr:xfrm>
        <a:off x="16725960" y="132120"/>
        <a:ext cx="6231600" cy="348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48960</xdr:colOff>
      <xdr:row>22</xdr:row>
      <xdr:rowOff>55080</xdr:rowOff>
    </xdr:from>
    <xdr:to>
      <xdr:col>24</xdr:col>
      <xdr:colOff>298080</xdr:colOff>
      <xdr:row>40</xdr:row>
      <xdr:rowOff>138600</xdr:rowOff>
    </xdr:to>
    <xdr:graphicFrame>
      <xdr:nvGraphicFramePr>
        <xdr:cNvPr id="1" name=""/>
        <xdr:cNvGraphicFramePr/>
      </xdr:nvGraphicFramePr>
      <xdr:xfrm>
        <a:off x="17104320" y="3910680"/>
        <a:ext cx="57870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17280</xdr:colOff>
      <xdr:row>0</xdr:row>
      <xdr:rowOff>0</xdr:rowOff>
    </xdr:from>
    <xdr:to>
      <xdr:col>13</xdr:col>
      <xdr:colOff>86040</xdr:colOff>
      <xdr:row>17</xdr:row>
      <xdr:rowOff>43200</xdr:rowOff>
    </xdr:to>
    <xdr:graphicFrame>
      <xdr:nvGraphicFramePr>
        <xdr:cNvPr id="2" name=""/>
        <xdr:cNvGraphicFramePr/>
      </xdr:nvGraphicFramePr>
      <xdr:xfrm>
        <a:off x="7620480" y="0"/>
        <a:ext cx="579420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687960</xdr:colOff>
      <xdr:row>31</xdr:row>
      <xdr:rowOff>103320</xdr:rowOff>
    </xdr:from>
    <xdr:to>
      <xdr:col>11</xdr:col>
      <xdr:colOff>155880</xdr:colOff>
      <xdr:row>48</xdr:row>
      <xdr:rowOff>146880</xdr:rowOff>
    </xdr:to>
    <xdr:graphicFrame>
      <xdr:nvGraphicFramePr>
        <xdr:cNvPr id="3" name=""/>
        <xdr:cNvGraphicFramePr/>
      </xdr:nvGraphicFramePr>
      <xdr:xfrm>
        <a:off x="6073200" y="5937480"/>
        <a:ext cx="57754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6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N61" activeCellId="0" sqref="N61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52.98"/>
    <col collapsed="false" customWidth="true" hidden="false" outlineLevel="0" max="2" min="2" style="0" width="14.72"/>
    <col collapsed="false" customWidth="true" hidden="false" outlineLevel="0" max="3" min="3" style="0" width="16.11"/>
    <col collapsed="false" customWidth="true" hidden="false" outlineLevel="0" max="4" min="4" style="0" width="12.37"/>
    <col collapsed="false" customWidth="true" hidden="false" outlineLevel="0" max="5" min="5" style="0" width="17.78"/>
    <col collapsed="false" customWidth="true" hidden="false" outlineLevel="0" max="6" min="6" style="0" width="11.25"/>
    <col collapsed="false" customWidth="true" hidden="false" outlineLevel="0" max="7" min="7" style="0" width="12.22"/>
    <col collapsed="false" customWidth="true" hidden="false" outlineLevel="0" max="8" min="8" style="0" width="11.53"/>
    <col collapsed="false" customWidth="true" hidden="false" outlineLevel="0" max="9" min="9" style="0" width="13.06"/>
    <col collapsed="false" customWidth="true" hidden="false" outlineLevel="0" max="10" min="10" style="0" width="15.28"/>
    <col collapsed="false" customWidth="true" hidden="false" outlineLevel="0" max="11" min="11" style="0" width="18.77"/>
    <col collapsed="false" customWidth="true" hidden="false" outlineLevel="0" max="12" min="12" style="0" width="13.89"/>
    <col collapsed="false" customWidth="true" hidden="false" outlineLevel="0" max="13" min="13" style="0" width="14.31"/>
    <col collapsed="false" customWidth="true" hidden="false" outlineLevel="0" max="28" min="28" style="0" width="52.79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customFormat="false" ht="13.8" hidden="false" customHeight="false" outlineLevel="0" collapsed="false">
      <c r="A2" s="1" t="s">
        <v>14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3" t="n">
        <v>1</v>
      </c>
      <c r="Q2" s="0" t="s">
        <v>12</v>
      </c>
      <c r="R2" s="4" t="n">
        <f aca="false">S2/$N$61</f>
        <v>0.3585313174946</v>
      </c>
      <c r="S2" s="0" t="n">
        <v>166</v>
      </c>
      <c r="AB2" s="1" t="s">
        <v>14</v>
      </c>
      <c r="AC2" s="3" t="n">
        <v>1</v>
      </c>
    </row>
    <row r="3" customFormat="false" ht="13.8" hidden="false" customHeight="false" outlineLevel="0" collapsed="false">
      <c r="A3" s="1" t="s">
        <v>15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3" t="n">
        <v>1</v>
      </c>
      <c r="Q3" s="0" t="s">
        <v>1</v>
      </c>
      <c r="R3" s="4" t="n">
        <f aca="false">S3/$N$61</f>
        <v>0.168466522678186</v>
      </c>
      <c r="S3" s="0" t="n">
        <v>78</v>
      </c>
      <c r="AB3" s="1" t="s">
        <v>15</v>
      </c>
      <c r="AC3" s="3" t="n">
        <v>1</v>
      </c>
    </row>
    <row r="4" customFormat="false" ht="13.8" hidden="false" customHeight="false" outlineLevel="0" collapsed="false">
      <c r="A4" s="1" t="s">
        <v>16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3" t="n">
        <v>2</v>
      </c>
      <c r="Q4" s="0" t="s">
        <v>9</v>
      </c>
      <c r="R4" s="4" t="n">
        <f aca="false">S4/$N$61</f>
        <v>0.168466522678186</v>
      </c>
      <c r="S4" s="0" t="n">
        <v>78</v>
      </c>
      <c r="AB4" s="1" t="s">
        <v>16</v>
      </c>
      <c r="AC4" s="3" t="n">
        <v>2</v>
      </c>
    </row>
    <row r="5" customFormat="false" ht="13.8" hidden="false" customHeight="false" outlineLevel="0" collapsed="false">
      <c r="A5" s="1" t="s">
        <v>17</v>
      </c>
      <c r="B5" s="0" t="n">
        <v>1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3" t="n">
        <v>2</v>
      </c>
      <c r="Q5" s="0" t="s">
        <v>7</v>
      </c>
      <c r="R5" s="4" t="n">
        <f aca="false">S5/$N$61</f>
        <v>0.125269978401728</v>
      </c>
      <c r="S5" s="0" t="n">
        <v>58</v>
      </c>
      <c r="AB5" s="1" t="s">
        <v>17</v>
      </c>
      <c r="AC5" s="3" t="n">
        <v>2</v>
      </c>
    </row>
    <row r="6" customFormat="false" ht="13.8" hidden="false" customHeight="false" outlineLevel="0" collapsed="false">
      <c r="A6" s="1" t="s">
        <v>18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3" t="n">
        <v>2</v>
      </c>
      <c r="Q6" s="0" t="s">
        <v>5</v>
      </c>
      <c r="R6" s="4" t="n">
        <f aca="false">S6/$N$61</f>
        <v>0.0950323974082074</v>
      </c>
      <c r="S6" s="0" t="n">
        <v>44</v>
      </c>
      <c r="AB6" s="1" t="s">
        <v>18</v>
      </c>
      <c r="AC6" s="3" t="n">
        <v>2</v>
      </c>
    </row>
    <row r="7" customFormat="false" ht="13.8" hidden="false" customHeight="false" outlineLevel="0" collapsed="false">
      <c r="A7" s="1" t="s">
        <v>19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3" t="n">
        <v>3</v>
      </c>
      <c r="Q7" s="0" t="s">
        <v>10</v>
      </c>
      <c r="R7" s="4" t="n">
        <f aca="false">S7/$N$61</f>
        <v>0.0539956803455724</v>
      </c>
      <c r="S7" s="0" t="n">
        <v>25</v>
      </c>
      <c r="AB7" s="1" t="s">
        <v>19</v>
      </c>
      <c r="AC7" s="3" t="n">
        <v>3</v>
      </c>
    </row>
    <row r="8" customFormat="false" ht="13.8" hidden="false" customHeight="false" outlineLevel="0" collapsed="false">
      <c r="A8" s="1" t="s">
        <v>20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</v>
      </c>
      <c r="M8" s="0" t="n">
        <v>0</v>
      </c>
      <c r="N8" s="3" t="n">
        <v>3</v>
      </c>
      <c r="Q8" s="0" t="s">
        <v>8</v>
      </c>
      <c r="R8" s="4" t="n">
        <f aca="false">S8/$N$61</f>
        <v>0.0129589632829374</v>
      </c>
      <c r="S8" s="0" t="n">
        <v>6</v>
      </c>
      <c r="AB8" s="1" t="s">
        <v>20</v>
      </c>
      <c r="AC8" s="3" t="n">
        <v>3</v>
      </c>
    </row>
    <row r="9" customFormat="false" ht="13.8" hidden="false" customHeight="false" outlineLevel="0" collapsed="false">
      <c r="A9" s="1" t="s">
        <v>21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  <c r="N9" s="3" t="n">
        <v>3</v>
      </c>
      <c r="Q9" s="0" t="s">
        <v>2</v>
      </c>
      <c r="R9" s="4" t="n">
        <f aca="false">S9/$N$61</f>
        <v>0.00431965442764579</v>
      </c>
      <c r="S9" s="0" t="n">
        <v>2</v>
      </c>
      <c r="AB9" s="1" t="s">
        <v>21</v>
      </c>
      <c r="AC9" s="3" t="n">
        <v>3</v>
      </c>
    </row>
    <row r="10" customFormat="false" ht="13.8" hidden="false" customHeight="false" outlineLevel="0" collapsed="false">
      <c r="A10" s="1" t="s">
        <v>22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2</v>
      </c>
      <c r="N10" s="3" t="n">
        <v>4</v>
      </c>
      <c r="Q10" s="0" t="s">
        <v>3</v>
      </c>
      <c r="R10" s="4" t="n">
        <f aca="false">S10/$N$61</f>
        <v>0.00431965442764579</v>
      </c>
      <c r="S10" s="0" t="n">
        <v>2</v>
      </c>
      <c r="AB10" s="1" t="s">
        <v>22</v>
      </c>
      <c r="AC10" s="3" t="n">
        <v>4</v>
      </c>
    </row>
    <row r="11" customFormat="false" ht="13.8" hidden="false" customHeight="false" outlineLevel="0" collapsed="false">
      <c r="A11" s="1" t="s">
        <v>23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2</v>
      </c>
      <c r="N11" s="3" t="n">
        <v>4</v>
      </c>
      <c r="Q11" s="0" t="s">
        <v>11</v>
      </c>
      <c r="R11" s="4" t="n">
        <f aca="false">S11/$N$61</f>
        <v>0.00431965442764579</v>
      </c>
      <c r="S11" s="0" t="n">
        <v>2</v>
      </c>
      <c r="AB11" s="1" t="s">
        <v>23</v>
      </c>
      <c r="AC11" s="3" t="n">
        <v>4</v>
      </c>
    </row>
    <row r="12" customFormat="false" ht="13.8" hidden="false" customHeight="false" outlineLevel="0" collapsed="false">
      <c r="A12" s="1" t="s">
        <v>24</v>
      </c>
      <c r="B12" s="0" t="n">
        <v>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</v>
      </c>
      <c r="M12" s="0" t="n">
        <v>2</v>
      </c>
      <c r="N12" s="3" t="n">
        <v>4</v>
      </c>
      <c r="Q12" s="0" t="s">
        <v>4</v>
      </c>
      <c r="R12" s="4" t="n">
        <f aca="false">S12/$N$61</f>
        <v>0.00215982721382289</v>
      </c>
      <c r="S12" s="0" t="n">
        <v>1</v>
      </c>
      <c r="AB12" s="1" t="s">
        <v>24</v>
      </c>
      <c r="AC12" s="3" t="n">
        <v>4</v>
      </c>
    </row>
    <row r="13" customFormat="false" ht="13.8" hidden="false" customHeight="false" outlineLevel="0" collapsed="false">
      <c r="A13" s="1" t="s">
        <v>25</v>
      </c>
      <c r="B13" s="0" t="n">
        <v>1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2</v>
      </c>
      <c r="N13" s="3" t="n">
        <v>4</v>
      </c>
      <c r="Q13" s="0" t="s">
        <v>6</v>
      </c>
      <c r="R13" s="4" t="n">
        <f aca="false">S13/$N$61</f>
        <v>0.00215982721382289</v>
      </c>
      <c r="S13" s="0" t="n">
        <v>1</v>
      </c>
      <c r="AB13" s="1" t="s">
        <v>25</v>
      </c>
      <c r="AC13" s="3" t="n">
        <v>4</v>
      </c>
    </row>
    <row r="14" customFormat="false" ht="13.8" hidden="false" customHeight="false" outlineLevel="0" collapsed="false">
      <c r="A14" s="1" t="s">
        <v>26</v>
      </c>
      <c r="B14" s="0" t="n">
        <v>1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2</v>
      </c>
      <c r="N14" s="3" t="n">
        <v>4</v>
      </c>
      <c r="AB14" s="1" t="s">
        <v>26</v>
      </c>
      <c r="AC14" s="3" t="n">
        <v>4</v>
      </c>
    </row>
    <row r="15" customFormat="false" ht="13.8" hidden="false" customHeight="false" outlineLevel="0" collapsed="false">
      <c r="A15" s="1" t="s">
        <v>27</v>
      </c>
      <c r="B15" s="0" t="n">
        <v>1</v>
      </c>
      <c r="C15" s="0" t="n">
        <v>0</v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1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  <c r="N15" s="3" t="n">
        <v>4</v>
      </c>
      <c r="AB15" s="1" t="s">
        <v>27</v>
      </c>
      <c r="AC15" s="3" t="n">
        <v>4</v>
      </c>
    </row>
    <row r="16" customFormat="false" ht="13.8" hidden="false" customHeight="false" outlineLevel="0" collapsed="false">
      <c r="A16" s="1" t="s">
        <v>28</v>
      </c>
      <c r="B16" s="0" t="n">
        <v>1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2</v>
      </c>
      <c r="N16" s="3" t="n">
        <v>4</v>
      </c>
      <c r="AB16" s="1" t="s">
        <v>28</v>
      </c>
      <c r="AC16" s="3" t="n">
        <v>4</v>
      </c>
    </row>
    <row r="17" customFormat="false" ht="13.8" hidden="false" customHeight="false" outlineLevel="0" collapsed="false">
      <c r="A17" s="1" t="s">
        <v>29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2</v>
      </c>
      <c r="N17" s="3" t="n">
        <v>4</v>
      </c>
      <c r="AB17" s="1" t="s">
        <v>29</v>
      </c>
      <c r="AC17" s="3" t="n">
        <v>4</v>
      </c>
    </row>
    <row r="18" customFormat="false" ht="13.8" hidden="false" customHeight="false" outlineLevel="0" collapsed="false">
      <c r="A18" s="1" t="s">
        <v>30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2</v>
      </c>
      <c r="N18" s="3" t="n">
        <v>4</v>
      </c>
      <c r="AB18" s="1" t="s">
        <v>30</v>
      </c>
      <c r="AC18" s="3" t="n">
        <v>4</v>
      </c>
    </row>
    <row r="19" customFormat="false" ht="13.8" hidden="false" customHeight="false" outlineLevel="0" collapsed="false">
      <c r="A19" s="1" t="s">
        <v>31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2</v>
      </c>
      <c r="N19" s="3" t="n">
        <v>4</v>
      </c>
      <c r="AB19" s="1" t="s">
        <v>31</v>
      </c>
      <c r="AC19" s="3" t="n">
        <v>4</v>
      </c>
    </row>
    <row r="20" customFormat="false" ht="13.8" hidden="false" customHeight="false" outlineLevel="0" collapsed="false">
      <c r="A20" s="1" t="s">
        <v>32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</v>
      </c>
      <c r="M20" s="0" t="n">
        <v>0</v>
      </c>
      <c r="N20" s="3" t="n">
        <v>4</v>
      </c>
      <c r="AB20" s="1" t="s">
        <v>32</v>
      </c>
      <c r="AC20" s="3" t="n">
        <v>4</v>
      </c>
    </row>
    <row r="21" customFormat="false" ht="13.8" hidden="false" customHeight="false" outlineLevel="0" collapsed="false">
      <c r="A21" s="1" t="s">
        <v>33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2</v>
      </c>
      <c r="N21" s="3" t="n">
        <v>4</v>
      </c>
      <c r="AB21" s="1" t="s">
        <v>33</v>
      </c>
      <c r="AC21" s="3" t="n">
        <v>4</v>
      </c>
    </row>
    <row r="22" customFormat="false" ht="13.8" hidden="false" customHeight="false" outlineLevel="0" collapsed="false">
      <c r="A22" s="1" t="s">
        <v>34</v>
      </c>
      <c r="B22" s="0" t="n">
        <v>1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2</v>
      </c>
      <c r="N22" s="3" t="n">
        <v>4</v>
      </c>
      <c r="AB22" s="1" t="s">
        <v>34</v>
      </c>
      <c r="AC22" s="3" t="n">
        <v>4</v>
      </c>
    </row>
    <row r="23" customFormat="false" ht="13.8" hidden="false" customHeight="false" outlineLevel="0" collapsed="false">
      <c r="A23" s="1" t="s">
        <v>35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2</v>
      </c>
      <c r="N23" s="3" t="n">
        <v>4</v>
      </c>
      <c r="AB23" s="1" t="s">
        <v>35</v>
      </c>
      <c r="AC23" s="3" t="n">
        <v>4</v>
      </c>
    </row>
    <row r="24" customFormat="false" ht="13.8" hidden="false" customHeight="false" outlineLevel="0" collapsed="false">
      <c r="A24" s="1" t="s">
        <v>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3" t="n">
        <v>4</v>
      </c>
      <c r="AB24" s="1" t="s">
        <v>36</v>
      </c>
      <c r="AC24" s="3" t="n">
        <v>4</v>
      </c>
    </row>
    <row r="25" customFormat="false" ht="13.8" hidden="false" customHeight="false" outlineLevel="0" collapsed="false">
      <c r="A25" s="1" t="s">
        <v>37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2</v>
      </c>
      <c r="N25" s="3" t="n">
        <v>5</v>
      </c>
      <c r="AB25" s="1" t="s">
        <v>37</v>
      </c>
      <c r="AC25" s="3" t="n">
        <v>5</v>
      </c>
    </row>
    <row r="26" customFormat="false" ht="13.8" hidden="false" customHeight="false" outlineLevel="0" collapsed="false">
      <c r="A26" s="1" t="s">
        <v>38</v>
      </c>
      <c r="B26" s="0" t="n">
        <v>1</v>
      </c>
      <c r="C26" s="0" t="n">
        <v>1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2</v>
      </c>
      <c r="N26" s="3" t="n">
        <v>5</v>
      </c>
      <c r="AB26" s="1" t="s">
        <v>38</v>
      </c>
      <c r="AC26" s="3" t="n">
        <v>5</v>
      </c>
    </row>
    <row r="27" customFormat="false" ht="13.8" hidden="false" customHeight="false" outlineLevel="0" collapsed="false">
      <c r="A27" s="1" t="s">
        <v>39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2</v>
      </c>
      <c r="N27" s="3" t="n">
        <v>5</v>
      </c>
      <c r="AB27" s="1" t="s">
        <v>39</v>
      </c>
      <c r="AC27" s="3" t="n">
        <v>5</v>
      </c>
    </row>
    <row r="28" customFormat="false" ht="13.8" hidden="false" customHeight="false" outlineLevel="0" collapsed="false">
      <c r="A28" s="1" t="s">
        <v>40</v>
      </c>
      <c r="B28" s="0" t="n">
        <v>1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2</v>
      </c>
      <c r="N28" s="3" t="n">
        <v>5</v>
      </c>
      <c r="AB28" s="1" t="s">
        <v>40</v>
      </c>
      <c r="AC28" s="3" t="n">
        <v>5</v>
      </c>
    </row>
    <row r="29" customFormat="false" ht="13.8" hidden="false" customHeight="false" outlineLevel="0" collapsed="false">
      <c r="A29" s="1" t="s">
        <v>41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4</v>
      </c>
      <c r="N29" s="3" t="n">
        <v>5</v>
      </c>
      <c r="AB29" s="1" t="s">
        <v>41</v>
      </c>
      <c r="AC29" s="3" t="n">
        <v>5</v>
      </c>
    </row>
    <row r="30" customFormat="false" ht="13.8" hidden="false" customHeight="false" outlineLevel="0" collapsed="false">
      <c r="A30" s="1" t="s">
        <v>42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</v>
      </c>
      <c r="M30" s="0" t="n">
        <v>2</v>
      </c>
      <c r="N30" s="3" t="n">
        <v>5</v>
      </c>
      <c r="AB30" s="1" t="s">
        <v>42</v>
      </c>
      <c r="AC30" s="3" t="n">
        <v>5</v>
      </c>
    </row>
    <row r="31" customFormat="false" ht="13.8" hidden="false" customHeight="false" outlineLevel="0" collapsed="false">
      <c r="A31" s="1" t="s">
        <v>43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4</v>
      </c>
      <c r="N31" s="3" t="n">
        <v>5</v>
      </c>
      <c r="AB31" s="1" t="s">
        <v>43</v>
      </c>
      <c r="AC31" s="3" t="n">
        <v>5</v>
      </c>
    </row>
    <row r="32" customFormat="false" ht="13.8" hidden="false" customHeight="false" outlineLevel="0" collapsed="false">
      <c r="A32" s="1" t="s">
        <v>44</v>
      </c>
      <c r="B32" s="0" t="n">
        <v>1</v>
      </c>
      <c r="C32" s="0" t="n">
        <v>0</v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1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2</v>
      </c>
      <c r="N32" s="3" t="n">
        <v>6</v>
      </c>
      <c r="AB32" s="1" t="s">
        <v>44</v>
      </c>
      <c r="AC32" s="3" t="n">
        <v>6</v>
      </c>
    </row>
    <row r="33" customFormat="false" ht="13.8" hidden="false" customHeight="false" outlineLevel="0" collapsed="false">
      <c r="A33" s="1" t="s">
        <v>45</v>
      </c>
      <c r="B33" s="0" t="n">
        <v>1</v>
      </c>
      <c r="C33" s="0" t="n">
        <v>0</v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1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2</v>
      </c>
      <c r="N33" s="3" t="n">
        <v>6</v>
      </c>
      <c r="AB33" s="1" t="s">
        <v>45</v>
      </c>
      <c r="AC33" s="3" t="n">
        <v>6</v>
      </c>
    </row>
    <row r="34" customFormat="false" ht="13.8" hidden="false" customHeight="false" outlineLevel="0" collapsed="false">
      <c r="A34" s="1" t="s">
        <v>46</v>
      </c>
      <c r="B34" s="0" t="n">
        <v>1</v>
      </c>
      <c r="C34" s="0" t="n">
        <v>0</v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1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2</v>
      </c>
      <c r="N34" s="3" t="n">
        <v>6</v>
      </c>
      <c r="AB34" s="1" t="s">
        <v>46</v>
      </c>
      <c r="AC34" s="3" t="n">
        <v>6</v>
      </c>
    </row>
    <row r="35" customFormat="false" ht="13.8" hidden="false" customHeight="false" outlineLevel="0" collapsed="false">
      <c r="A35" s="1" t="s">
        <v>47</v>
      </c>
      <c r="B35" s="0" t="n">
        <v>1</v>
      </c>
      <c r="C35" s="0" t="n">
        <v>0</v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1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2</v>
      </c>
      <c r="N35" s="3" t="n">
        <v>6</v>
      </c>
      <c r="AB35" s="1" t="s">
        <v>47</v>
      </c>
      <c r="AC35" s="3" t="n">
        <v>6</v>
      </c>
    </row>
    <row r="36" customFormat="false" ht="13.8" hidden="false" customHeight="false" outlineLevel="0" collapsed="false">
      <c r="A36" s="1" t="s">
        <v>48</v>
      </c>
      <c r="B36" s="0" t="n">
        <v>1</v>
      </c>
      <c r="C36" s="0" t="n">
        <v>0</v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1</v>
      </c>
      <c r="I36" s="0" t="n">
        <v>0</v>
      </c>
      <c r="J36" s="0" t="n">
        <v>1</v>
      </c>
      <c r="K36" s="0" t="n">
        <v>0</v>
      </c>
      <c r="L36" s="0" t="n">
        <v>0</v>
      </c>
      <c r="M36" s="0" t="n">
        <v>2</v>
      </c>
      <c r="N36" s="3" t="n">
        <v>6</v>
      </c>
      <c r="AB36" s="1" t="s">
        <v>48</v>
      </c>
      <c r="AC36" s="3" t="n">
        <v>6</v>
      </c>
    </row>
    <row r="37" customFormat="false" ht="13.8" hidden="false" customHeight="false" outlineLevel="0" collapsed="false">
      <c r="A37" s="1" t="s">
        <v>49</v>
      </c>
      <c r="B37" s="0" t="n">
        <v>1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</v>
      </c>
      <c r="M37" s="0" t="n">
        <v>2</v>
      </c>
      <c r="N37" s="3" t="n">
        <v>6</v>
      </c>
      <c r="AB37" s="1" t="s">
        <v>49</v>
      </c>
      <c r="AC37" s="3" t="n">
        <v>6</v>
      </c>
    </row>
    <row r="38" customFormat="false" ht="13.8" hidden="false" customHeight="false" outlineLevel="0" collapsed="false">
      <c r="A38" s="1" t="s">
        <v>50</v>
      </c>
      <c r="B38" s="0" t="n">
        <v>1</v>
      </c>
      <c r="C38" s="0" t="n">
        <v>0</v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1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2</v>
      </c>
      <c r="N38" s="3" t="n">
        <v>6</v>
      </c>
      <c r="AB38" s="1" t="s">
        <v>50</v>
      </c>
      <c r="AC38" s="3" t="n">
        <v>6</v>
      </c>
    </row>
    <row r="39" customFormat="false" ht="13.8" hidden="false" customHeight="false" outlineLevel="0" collapsed="false">
      <c r="A39" s="1" t="s">
        <v>51</v>
      </c>
      <c r="B39" s="0" t="n">
        <v>1</v>
      </c>
      <c r="C39" s="0" t="n">
        <v>0</v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</v>
      </c>
      <c r="M39" s="0" t="n">
        <v>2</v>
      </c>
      <c r="N39" s="3" t="n">
        <v>6</v>
      </c>
      <c r="AB39" s="1" t="s">
        <v>51</v>
      </c>
      <c r="AC39" s="3" t="n">
        <v>6</v>
      </c>
    </row>
    <row r="40" customFormat="false" ht="13.8" hidden="false" customHeight="false" outlineLevel="0" collapsed="false">
      <c r="A40" s="1" t="s">
        <v>52</v>
      </c>
      <c r="B40" s="0" t="n">
        <v>1</v>
      </c>
      <c r="C40" s="0" t="n">
        <v>0</v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1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2</v>
      </c>
      <c r="N40" s="3" t="n">
        <v>6</v>
      </c>
      <c r="AB40" s="1" t="s">
        <v>52</v>
      </c>
      <c r="AC40" s="3" t="n">
        <v>6</v>
      </c>
    </row>
    <row r="41" customFormat="false" ht="13.8" hidden="false" customHeight="false" outlineLevel="0" collapsed="false">
      <c r="A41" s="1" t="s">
        <v>53</v>
      </c>
      <c r="B41" s="0" t="n">
        <v>1</v>
      </c>
      <c r="C41" s="0" t="n">
        <v>0</v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1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2</v>
      </c>
      <c r="N41" s="3" t="n">
        <v>6</v>
      </c>
      <c r="AB41" s="1" t="s">
        <v>53</v>
      </c>
      <c r="AC41" s="3" t="n">
        <v>6</v>
      </c>
    </row>
    <row r="42" customFormat="false" ht="13.8" hidden="false" customHeight="false" outlineLevel="0" collapsed="false">
      <c r="A42" s="1" t="s">
        <v>54</v>
      </c>
      <c r="B42" s="0" t="n">
        <v>1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</v>
      </c>
      <c r="M42" s="0" t="n">
        <v>2</v>
      </c>
      <c r="N42" s="3" t="n">
        <v>6</v>
      </c>
      <c r="AB42" s="1" t="s">
        <v>54</v>
      </c>
      <c r="AC42" s="3" t="n">
        <v>6</v>
      </c>
    </row>
    <row r="43" customFormat="false" ht="13.8" hidden="false" customHeight="false" outlineLevel="0" collapsed="false">
      <c r="A43" s="1" t="s">
        <v>55</v>
      </c>
      <c r="B43" s="0" t="n">
        <v>1</v>
      </c>
      <c r="C43" s="0" t="n">
        <v>0</v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</v>
      </c>
      <c r="M43" s="0" t="n">
        <v>2</v>
      </c>
      <c r="N43" s="3" t="n">
        <v>7</v>
      </c>
      <c r="AB43" s="1" t="s">
        <v>55</v>
      </c>
      <c r="AC43" s="3" t="n">
        <v>7</v>
      </c>
    </row>
    <row r="44" customFormat="false" ht="13.8" hidden="false" customHeight="false" outlineLevel="0" collapsed="false">
      <c r="A44" s="1" t="s">
        <v>56</v>
      </c>
      <c r="B44" s="0" t="n">
        <v>1</v>
      </c>
      <c r="C44" s="0" t="n">
        <v>0</v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</v>
      </c>
      <c r="M44" s="0" t="n">
        <v>2</v>
      </c>
      <c r="N44" s="3" t="n">
        <v>7</v>
      </c>
      <c r="AB44" s="1" t="s">
        <v>56</v>
      </c>
      <c r="AC44" s="3" t="n">
        <v>7</v>
      </c>
    </row>
    <row r="45" customFormat="false" ht="13.8" hidden="false" customHeight="false" outlineLevel="0" collapsed="false">
      <c r="A45" s="1" t="s">
        <v>57</v>
      </c>
      <c r="B45" s="0" t="n">
        <v>1</v>
      </c>
      <c r="C45" s="0" t="n">
        <v>0</v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2</v>
      </c>
      <c r="N45" s="3" t="n">
        <v>7</v>
      </c>
      <c r="AB45" s="1" t="s">
        <v>57</v>
      </c>
      <c r="AC45" s="3" t="n">
        <v>7</v>
      </c>
    </row>
    <row r="46" customFormat="false" ht="13.8" hidden="false" customHeight="false" outlineLevel="0" collapsed="false">
      <c r="A46" s="1" t="s">
        <v>58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</v>
      </c>
      <c r="M46" s="0" t="n">
        <v>2</v>
      </c>
      <c r="N46" s="3" t="n">
        <v>7</v>
      </c>
      <c r="AB46" s="1" t="s">
        <v>58</v>
      </c>
      <c r="AC46" s="3" t="n">
        <v>7</v>
      </c>
    </row>
    <row r="47" customFormat="false" ht="13.8" hidden="false" customHeight="false" outlineLevel="0" collapsed="false">
      <c r="A47" s="1" t="s">
        <v>59</v>
      </c>
      <c r="B47" s="0" t="n">
        <v>2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</v>
      </c>
      <c r="I47" s="0" t="n">
        <v>0</v>
      </c>
      <c r="J47" s="0" t="n">
        <v>2</v>
      </c>
      <c r="K47" s="0" t="n">
        <v>0</v>
      </c>
      <c r="L47" s="0" t="n">
        <v>0</v>
      </c>
      <c r="M47" s="0" t="n">
        <v>4</v>
      </c>
      <c r="N47" s="3" t="n">
        <v>9</v>
      </c>
      <c r="AB47" s="1" t="s">
        <v>59</v>
      </c>
      <c r="AC47" s="3" t="n">
        <v>9</v>
      </c>
    </row>
    <row r="48" customFormat="false" ht="13.8" hidden="false" customHeight="false" outlineLevel="0" collapsed="false">
      <c r="A48" s="1" t="s">
        <v>60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4</v>
      </c>
      <c r="N48" s="3" t="n">
        <v>9</v>
      </c>
      <c r="AB48" s="1" t="s">
        <v>60</v>
      </c>
      <c r="AC48" s="3" t="n">
        <v>9</v>
      </c>
    </row>
    <row r="49" customFormat="false" ht="13.8" hidden="false" customHeight="false" outlineLevel="0" collapsed="false">
      <c r="A49" s="1" t="s">
        <v>61</v>
      </c>
      <c r="B49" s="0" t="n">
        <v>2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</v>
      </c>
      <c r="I49" s="0" t="n">
        <v>0</v>
      </c>
      <c r="J49" s="0" t="n">
        <v>2</v>
      </c>
      <c r="K49" s="0" t="n">
        <v>0</v>
      </c>
      <c r="L49" s="0" t="n">
        <v>0</v>
      </c>
      <c r="M49" s="0" t="n">
        <v>4</v>
      </c>
      <c r="N49" s="3" t="n">
        <v>10</v>
      </c>
      <c r="AB49" s="1" t="s">
        <v>61</v>
      </c>
      <c r="AC49" s="3" t="n">
        <v>10</v>
      </c>
    </row>
    <row r="50" customFormat="false" ht="13.8" hidden="false" customHeight="false" outlineLevel="0" collapsed="false">
      <c r="A50" s="1" t="s">
        <v>62</v>
      </c>
      <c r="B50" s="0" t="n">
        <v>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</v>
      </c>
      <c r="I50" s="0" t="n">
        <v>0</v>
      </c>
      <c r="J50" s="0" t="n">
        <v>1</v>
      </c>
      <c r="K50" s="0" t="n">
        <v>2</v>
      </c>
      <c r="L50" s="0" t="n">
        <v>0</v>
      </c>
      <c r="M50" s="0" t="n">
        <v>4</v>
      </c>
      <c r="N50" s="3" t="n">
        <v>10</v>
      </c>
      <c r="AB50" s="1" t="s">
        <v>62</v>
      </c>
      <c r="AC50" s="3" t="n">
        <v>10</v>
      </c>
    </row>
    <row r="51" customFormat="false" ht="13.8" hidden="false" customHeight="false" outlineLevel="0" collapsed="false">
      <c r="A51" s="1" t="s">
        <v>63</v>
      </c>
      <c r="B51" s="0" t="n">
        <v>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</v>
      </c>
      <c r="M51" s="0" t="n">
        <v>4</v>
      </c>
      <c r="N51" s="3" t="n">
        <v>10</v>
      </c>
      <c r="AB51" s="1" t="s">
        <v>63</v>
      </c>
      <c r="AC51" s="3" t="n">
        <v>10</v>
      </c>
    </row>
    <row r="52" customFormat="false" ht="13.8" hidden="false" customHeight="false" outlineLevel="0" collapsed="false">
      <c r="A52" s="1" t="s">
        <v>64</v>
      </c>
      <c r="B52" s="0" t="n">
        <v>2</v>
      </c>
      <c r="C52" s="0" t="n">
        <v>0</v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1</v>
      </c>
      <c r="I52" s="0" t="n">
        <v>0</v>
      </c>
      <c r="J52" s="0" t="n">
        <v>2</v>
      </c>
      <c r="K52" s="0" t="n">
        <v>1</v>
      </c>
      <c r="L52" s="0" t="n">
        <v>0</v>
      </c>
      <c r="M52" s="0" t="n">
        <v>4</v>
      </c>
      <c r="N52" s="3" t="n">
        <v>11</v>
      </c>
      <c r="AB52" s="1" t="s">
        <v>64</v>
      </c>
      <c r="AC52" s="3" t="n">
        <v>11</v>
      </c>
    </row>
    <row r="53" customFormat="false" ht="13.8" hidden="false" customHeight="false" outlineLevel="0" collapsed="false">
      <c r="A53" s="1" t="s">
        <v>65</v>
      </c>
      <c r="B53" s="0" t="n">
        <v>2</v>
      </c>
      <c r="C53" s="0" t="n">
        <v>0</v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2</v>
      </c>
      <c r="I53" s="0" t="n">
        <v>0</v>
      </c>
      <c r="J53" s="0" t="n">
        <v>2</v>
      </c>
      <c r="K53" s="0" t="n">
        <v>0</v>
      </c>
      <c r="L53" s="0" t="n">
        <v>0</v>
      </c>
      <c r="M53" s="0" t="n">
        <v>4</v>
      </c>
      <c r="N53" s="3" t="n">
        <v>12</v>
      </c>
      <c r="AB53" s="1" t="s">
        <v>65</v>
      </c>
      <c r="AC53" s="3" t="n">
        <v>12</v>
      </c>
    </row>
    <row r="54" customFormat="false" ht="13.8" hidden="false" customHeight="false" outlineLevel="0" collapsed="false">
      <c r="A54" s="1" t="s">
        <v>66</v>
      </c>
      <c r="B54" s="0" t="n">
        <v>3</v>
      </c>
      <c r="C54" s="0" t="n">
        <v>0</v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1</v>
      </c>
      <c r="I54" s="0" t="n">
        <v>0</v>
      </c>
      <c r="J54" s="0" t="n">
        <v>3</v>
      </c>
      <c r="K54" s="0" t="n">
        <v>0</v>
      </c>
      <c r="L54" s="0" t="n">
        <v>0</v>
      </c>
      <c r="M54" s="0" t="n">
        <v>6</v>
      </c>
      <c r="N54" s="3" t="n">
        <v>14</v>
      </c>
      <c r="AB54" s="1" t="s">
        <v>66</v>
      </c>
      <c r="AC54" s="3" t="n">
        <v>14</v>
      </c>
    </row>
    <row r="55" customFormat="false" ht="13.8" hidden="false" customHeight="false" outlineLevel="0" collapsed="false">
      <c r="A55" s="1" t="s">
        <v>67</v>
      </c>
      <c r="B55" s="0" t="n">
        <v>3</v>
      </c>
      <c r="C55" s="0" t="n">
        <v>0</v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2</v>
      </c>
      <c r="I55" s="0" t="n">
        <v>1</v>
      </c>
      <c r="J55" s="0" t="n">
        <v>3</v>
      </c>
      <c r="K55" s="0" t="n">
        <v>1</v>
      </c>
      <c r="L55" s="0" t="n">
        <v>0</v>
      </c>
      <c r="M55" s="0" t="n">
        <v>4</v>
      </c>
      <c r="N55" s="3" t="n">
        <v>16</v>
      </c>
      <c r="AB55" s="1" t="s">
        <v>67</v>
      </c>
      <c r="AC55" s="3" t="n">
        <v>16</v>
      </c>
    </row>
    <row r="56" customFormat="false" ht="13.8" hidden="false" customHeight="false" outlineLevel="0" collapsed="false">
      <c r="A56" s="1" t="s">
        <v>68</v>
      </c>
      <c r="B56" s="0" t="n">
        <v>2</v>
      </c>
      <c r="C56" s="0" t="n">
        <v>1</v>
      </c>
      <c r="D56" s="0" t="n">
        <v>0</v>
      </c>
      <c r="E56" s="0" t="n">
        <v>0</v>
      </c>
      <c r="F56" s="0" t="n">
        <v>3</v>
      </c>
      <c r="G56" s="0" t="n">
        <v>0</v>
      </c>
      <c r="H56" s="0" t="n">
        <v>3</v>
      </c>
      <c r="I56" s="0" t="n">
        <v>0</v>
      </c>
      <c r="J56" s="0" t="n">
        <v>2</v>
      </c>
      <c r="K56" s="0" t="n">
        <v>3</v>
      </c>
      <c r="L56" s="0" t="n">
        <v>0</v>
      </c>
      <c r="M56" s="0" t="n">
        <v>6</v>
      </c>
      <c r="N56" s="3" t="n">
        <v>20</v>
      </c>
      <c r="AB56" s="1" t="s">
        <v>68</v>
      </c>
      <c r="AC56" s="3" t="n">
        <v>20</v>
      </c>
    </row>
    <row r="57" customFormat="false" ht="13.8" hidden="false" customHeight="false" outlineLevel="0" collapsed="false">
      <c r="A57" s="1" t="s">
        <v>69</v>
      </c>
      <c r="B57" s="0" t="n">
        <v>4</v>
      </c>
      <c r="C57" s="0" t="n">
        <v>0</v>
      </c>
      <c r="D57" s="0" t="n">
        <v>0</v>
      </c>
      <c r="E57" s="0" t="n">
        <v>1</v>
      </c>
      <c r="F57" s="0" t="n">
        <v>2</v>
      </c>
      <c r="G57" s="0" t="n">
        <v>1</v>
      </c>
      <c r="H57" s="0" t="n">
        <v>3</v>
      </c>
      <c r="I57" s="0" t="n">
        <v>0</v>
      </c>
      <c r="J57" s="0" t="n">
        <v>4</v>
      </c>
      <c r="K57" s="0" t="n">
        <v>0</v>
      </c>
      <c r="L57" s="0" t="n">
        <v>0</v>
      </c>
      <c r="M57" s="0" t="n">
        <v>8</v>
      </c>
      <c r="N57" s="3" t="n">
        <v>23</v>
      </c>
      <c r="AB57" s="1" t="s">
        <v>69</v>
      </c>
      <c r="AC57" s="3" t="n">
        <v>23</v>
      </c>
    </row>
    <row r="58" customFormat="false" ht="13.8" hidden="false" customHeight="false" outlineLevel="0" collapsed="false">
      <c r="A58" s="1" t="s">
        <v>70</v>
      </c>
      <c r="B58" s="0" t="n">
        <v>4</v>
      </c>
      <c r="C58" s="0" t="n">
        <v>0</v>
      </c>
      <c r="D58" s="0" t="n">
        <v>0</v>
      </c>
      <c r="E58" s="0" t="n">
        <v>0</v>
      </c>
      <c r="F58" s="0" t="n">
        <v>5</v>
      </c>
      <c r="G58" s="0" t="n">
        <v>0</v>
      </c>
      <c r="H58" s="0" t="n">
        <v>5</v>
      </c>
      <c r="I58" s="0" t="n">
        <v>2</v>
      </c>
      <c r="J58" s="0" t="n">
        <v>4</v>
      </c>
      <c r="K58" s="0" t="n">
        <v>0</v>
      </c>
      <c r="L58" s="0" t="n">
        <v>0</v>
      </c>
      <c r="M58" s="0" t="n">
        <v>8</v>
      </c>
      <c r="N58" s="3" t="n">
        <v>28</v>
      </c>
      <c r="AB58" s="1" t="s">
        <v>70</v>
      </c>
      <c r="AC58" s="3" t="n">
        <v>28</v>
      </c>
    </row>
    <row r="59" customFormat="false" ht="13.8" hidden="false" customHeight="false" outlineLevel="0" collapsed="false">
      <c r="A59" s="1" t="s">
        <v>71</v>
      </c>
      <c r="B59" s="0" t="n">
        <v>7</v>
      </c>
      <c r="C59" s="0" t="n">
        <v>0</v>
      </c>
      <c r="D59" s="0" t="n">
        <v>1</v>
      </c>
      <c r="E59" s="0" t="n">
        <v>0</v>
      </c>
      <c r="F59" s="0" t="n">
        <v>3</v>
      </c>
      <c r="G59" s="0" t="n">
        <v>0</v>
      </c>
      <c r="H59" s="0" t="n">
        <v>6</v>
      </c>
      <c r="I59" s="0" t="n">
        <v>0</v>
      </c>
      <c r="J59" s="0" t="n">
        <v>7</v>
      </c>
      <c r="K59" s="0" t="n">
        <v>2</v>
      </c>
      <c r="L59" s="0" t="n">
        <v>1</v>
      </c>
      <c r="M59" s="0" t="n">
        <v>8</v>
      </c>
      <c r="N59" s="3" t="n">
        <v>35</v>
      </c>
      <c r="AB59" s="1" t="s">
        <v>71</v>
      </c>
      <c r="AC59" s="3" t="n">
        <v>35</v>
      </c>
    </row>
    <row r="60" customFormat="false" ht="13.8" hidden="false" customHeight="false" outlineLevel="0" collapsed="false">
      <c r="A60" s="1" t="s">
        <v>72</v>
      </c>
      <c r="B60" s="0" t="n">
        <v>9</v>
      </c>
      <c r="C60" s="0" t="n">
        <v>0</v>
      </c>
      <c r="D60" s="0" t="n">
        <v>1</v>
      </c>
      <c r="E60" s="0" t="n">
        <v>0</v>
      </c>
      <c r="F60" s="0" t="n">
        <v>4</v>
      </c>
      <c r="G60" s="0" t="n">
        <v>0</v>
      </c>
      <c r="H60" s="0" t="n">
        <v>5</v>
      </c>
      <c r="I60" s="0" t="n">
        <v>0</v>
      </c>
      <c r="J60" s="0" t="n">
        <v>9</v>
      </c>
      <c r="K60" s="0" t="n">
        <v>3</v>
      </c>
      <c r="L60" s="0" t="n">
        <v>1</v>
      </c>
      <c r="M60" s="0" t="n">
        <v>18</v>
      </c>
      <c r="N60" s="3" t="n">
        <v>50</v>
      </c>
      <c r="AB60" s="1" t="s">
        <v>72</v>
      </c>
      <c r="AC60" s="3" t="n">
        <v>50</v>
      </c>
    </row>
    <row r="61" customFormat="false" ht="13.8" hidden="false" customHeight="false" outlineLevel="0" collapsed="false">
      <c r="A61" s="5" t="s">
        <v>13</v>
      </c>
      <c r="B61" s="6" t="n">
        <f aca="false">SUM(B2:B60)</f>
        <v>78</v>
      </c>
      <c r="C61" s="6" t="n">
        <f aca="false">SUM(C2:C60)</f>
        <v>2</v>
      </c>
      <c r="D61" s="6" t="n">
        <f aca="false">SUM(D2:D60)</f>
        <v>2</v>
      </c>
      <c r="E61" s="6" t="n">
        <f aca="false">SUM(E2:E60)</f>
        <v>1</v>
      </c>
      <c r="F61" s="6" t="n">
        <f aca="false">SUM(F2:F60)</f>
        <v>44</v>
      </c>
      <c r="G61" s="6" t="n">
        <f aca="false">SUM(G2:G60)</f>
        <v>1</v>
      </c>
      <c r="H61" s="6" t="n">
        <f aca="false">SUM(H2:H60)</f>
        <v>58</v>
      </c>
      <c r="I61" s="6" t="n">
        <f aca="false">SUM(I2:I60)</f>
        <v>6</v>
      </c>
      <c r="J61" s="6" t="n">
        <f aca="false">SUM(J2:J60)</f>
        <v>78</v>
      </c>
      <c r="K61" s="6" t="n">
        <f aca="false">SUM(K2:K60)</f>
        <v>25</v>
      </c>
      <c r="L61" s="6" t="n">
        <f aca="false">SUM(L2:L60)</f>
        <v>2</v>
      </c>
      <c r="M61" s="6" t="n">
        <f aca="false">SUM(M2:M60)</f>
        <v>166</v>
      </c>
      <c r="N61" s="7" t="n">
        <f aca="false">SUM(N2:N60)</f>
        <v>463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B16" colorId="64" zoomScale="100" zoomScaleNormal="100" zoomScalePageLayoutView="100" workbookViewId="0">
      <selection pane="topLeft" activeCell="M46" activeCellId="0" sqref="M46"/>
    </sheetView>
  </sheetViews>
  <sheetFormatPr defaultColWidth="11.60546875" defaultRowHeight="13.8" zeroHeight="false" outlineLevelRow="0" outlineLevelCol="0"/>
  <cols>
    <col collapsed="false" customWidth="true" hidden="false" outlineLevel="0" max="1" min="1" style="0" width="16.79"/>
    <col collapsed="false" customWidth="true" hidden="false" outlineLevel="0" max="5" min="2" style="0" width="19.84"/>
  </cols>
  <sheetData>
    <row r="1" customFormat="false" ht="15" hidden="false" customHeight="false" outlineLevel="0" collapsed="false">
      <c r="A1" s="8" t="s">
        <v>73</v>
      </c>
      <c r="B1" s="8" t="n">
        <v>2023</v>
      </c>
      <c r="C1" s="8" t="n">
        <v>2024</v>
      </c>
      <c r="D1" s="8" t="n">
        <v>2025</v>
      </c>
      <c r="E1" s="8" t="s">
        <v>74</v>
      </c>
    </row>
    <row r="2" customFormat="false" ht="15" hidden="false" customHeight="false" outlineLevel="0" collapsed="false">
      <c r="A2" s="9" t="s">
        <v>12</v>
      </c>
      <c r="B2" s="10" t="n">
        <v>0.222826086956522</v>
      </c>
      <c r="C2" s="10" t="n">
        <v>0.18956043956044</v>
      </c>
      <c r="D2" s="10" t="n">
        <v>0.3585313174946</v>
      </c>
      <c r="E2" s="11" t="n">
        <f aca="false">SUM(B2:D2)</f>
        <v>0.770917844011562</v>
      </c>
    </row>
    <row r="3" customFormat="false" ht="15" hidden="false" customHeight="false" outlineLevel="0" collapsed="false">
      <c r="A3" s="9" t="s">
        <v>9</v>
      </c>
      <c r="B3" s="10" t="n">
        <v>0.271739130434783</v>
      </c>
      <c r="C3" s="10" t="n">
        <v>0.288461538461538</v>
      </c>
      <c r="D3" s="10" t="n">
        <v>0.168466522678186</v>
      </c>
      <c r="E3" s="11" t="n">
        <f aca="false">SUM(B3:D3)</f>
        <v>0.728667191574507</v>
      </c>
    </row>
    <row r="4" customFormat="false" ht="15" hidden="false" customHeight="false" outlineLevel="0" collapsed="false">
      <c r="A4" s="9" t="s">
        <v>75</v>
      </c>
      <c r="B4" s="10" t="n">
        <v>0.108695652173913</v>
      </c>
      <c r="C4" s="10" t="n">
        <v>0.164835164835165</v>
      </c>
      <c r="D4" s="10" t="n">
        <v>0.125269978401728</v>
      </c>
      <c r="E4" s="11" t="n">
        <f aca="false">SUM(B4:D4)</f>
        <v>0.398800795410806</v>
      </c>
    </row>
    <row r="5" customFormat="false" ht="15" hidden="false" customHeight="false" outlineLevel="0" collapsed="false">
      <c r="A5" s="9" t="s">
        <v>5</v>
      </c>
      <c r="B5" s="10" t="n">
        <v>0.130434782608696</v>
      </c>
      <c r="C5" s="10" t="n">
        <v>0.118131868131868</v>
      </c>
      <c r="D5" s="10" t="n">
        <v>0.0950323974082074</v>
      </c>
      <c r="E5" s="11" t="n">
        <f aca="false">SUM(B5:D5)</f>
        <v>0.343599048148771</v>
      </c>
    </row>
    <row r="6" customFormat="false" ht="15" hidden="false" customHeight="false" outlineLevel="0" collapsed="false">
      <c r="A6" s="9" t="s">
        <v>10</v>
      </c>
      <c r="B6" s="10" t="n">
        <v>0.152173913043478</v>
      </c>
      <c r="C6" s="10" t="n">
        <v>0.126373626373626</v>
      </c>
      <c r="D6" s="10" t="n">
        <v>0.0539956803455724</v>
      </c>
      <c r="E6" s="11" t="n">
        <f aca="false">SUM(B6:D6)</f>
        <v>0.332543219762677</v>
      </c>
    </row>
    <row r="7" customFormat="false" ht="15" hidden="false" customHeight="false" outlineLevel="0" collapsed="false">
      <c r="A7" s="9" t="s">
        <v>1</v>
      </c>
      <c r="B7" s="10"/>
      <c r="C7" s="10"/>
      <c r="D7" s="10" t="n">
        <v>0.168466522678186</v>
      </c>
      <c r="E7" s="11" t="n">
        <f aca="false">SUM(B7:D7)</f>
        <v>0.168466522678186</v>
      </c>
    </row>
    <row r="8" customFormat="false" ht="15" hidden="false" customHeight="false" outlineLevel="0" collapsed="false">
      <c r="A8" s="9" t="s">
        <v>76</v>
      </c>
      <c r="B8" s="10" t="n">
        <v>0.0489130434782609</v>
      </c>
      <c r="C8" s="10" t="n">
        <v>0.0741758241758242</v>
      </c>
      <c r="D8" s="10" t="n">
        <v>0.0129589632829374</v>
      </c>
      <c r="E8" s="11" t="n">
        <f aca="false">SUM(B8:D8)</f>
        <v>0.136047830937022</v>
      </c>
    </row>
    <row r="9" customFormat="false" ht="15" hidden="false" customHeight="false" outlineLevel="0" collapsed="false">
      <c r="A9" s="9" t="s">
        <v>77</v>
      </c>
      <c r="B9" s="10" t="n">
        <v>0.0271739130434783</v>
      </c>
      <c r="C9" s="10" t="n">
        <v>0.021978021978022</v>
      </c>
      <c r="D9" s="10"/>
      <c r="E9" s="11" t="n">
        <f aca="false">SUM(B9:D9)</f>
        <v>0.0491519350215003</v>
      </c>
    </row>
    <row r="10" customFormat="false" ht="15" hidden="false" customHeight="false" outlineLevel="0" collapsed="false">
      <c r="A10" s="9" t="s">
        <v>2</v>
      </c>
      <c r="B10" s="10" t="n">
        <v>0.0326086956521739</v>
      </c>
      <c r="C10" s="10" t="n">
        <v>0.010989010989011</v>
      </c>
      <c r="D10" s="10" t="n">
        <v>0.00431965442764579</v>
      </c>
      <c r="E10" s="11" t="n">
        <f aca="false">SUM(B10:D10)</f>
        <v>0.0479173610688307</v>
      </c>
    </row>
    <row r="11" customFormat="false" ht="15" hidden="false" customHeight="false" outlineLevel="0" collapsed="false">
      <c r="A11" s="9" t="s">
        <v>78</v>
      </c>
      <c r="B11" s="10" t="n">
        <v>0.00543478260869565</v>
      </c>
      <c r="C11" s="10" t="n">
        <v>0.00274725274725275</v>
      </c>
      <c r="D11" s="10"/>
      <c r="E11" s="11" t="n">
        <f aca="false">SUM(B11:D11)</f>
        <v>0.0081820353559484</v>
      </c>
    </row>
    <row r="12" customFormat="false" ht="15" hidden="false" customHeight="false" outlineLevel="0" collapsed="false">
      <c r="A12" s="9" t="s">
        <v>4</v>
      </c>
      <c r="B12" s="10"/>
      <c r="C12" s="10" t="n">
        <v>0.00274725274725275</v>
      </c>
      <c r="D12" s="10" t="n">
        <v>0.00215982721382289</v>
      </c>
      <c r="E12" s="11" t="n">
        <f aca="false">SUM(B12:D12)</f>
        <v>0.00490707996107564</v>
      </c>
    </row>
    <row r="13" customFormat="false" ht="15" hidden="false" customHeight="false" outlineLevel="0" collapsed="false">
      <c r="A13" s="9" t="s">
        <v>3</v>
      </c>
      <c r="B13" s="10"/>
      <c r="C13" s="10"/>
      <c r="D13" s="10" t="n">
        <v>0.00431965442764579</v>
      </c>
      <c r="E13" s="11" t="n">
        <f aca="false">SUM(B13:D13)</f>
        <v>0.00431965442764579</v>
      </c>
    </row>
    <row r="14" customFormat="false" ht="15" hidden="false" customHeight="false" outlineLevel="0" collapsed="false">
      <c r="A14" s="9" t="s">
        <v>11</v>
      </c>
      <c r="B14" s="10"/>
      <c r="C14" s="10"/>
      <c r="D14" s="10" t="n">
        <v>0.00431965442764579</v>
      </c>
      <c r="E14" s="11" t="n">
        <f aca="false">SUM(B14:D14)</f>
        <v>0.00431965442764579</v>
      </c>
    </row>
    <row r="15" customFormat="false" ht="15" hidden="false" customHeight="false" outlineLevel="0" collapsed="false">
      <c r="A15" s="12" t="s">
        <v>6</v>
      </c>
      <c r="B15" s="13"/>
      <c r="C15" s="13"/>
      <c r="D15" s="13" t="n">
        <v>0.00215982721382289</v>
      </c>
      <c r="E15" s="14" t="n">
        <f aca="false">SUM(B15:D15)</f>
        <v>0.00215982721382289</v>
      </c>
    </row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5" hidden="false" customHeight="false" outlineLevel="0" collapsed="false">
      <c r="B19" s="8" t="s">
        <v>73</v>
      </c>
      <c r="C19" s="8" t="s">
        <v>74</v>
      </c>
      <c r="D19" s="8" t="s">
        <v>79</v>
      </c>
      <c r="F19" s="0" t="s">
        <v>12</v>
      </c>
      <c r="G19" s="0" t="n">
        <v>0.3585313174946</v>
      </c>
    </row>
    <row r="20" customFormat="false" ht="15" hidden="false" customHeight="false" outlineLevel="0" collapsed="false">
      <c r="B20" s="9" t="s">
        <v>12</v>
      </c>
      <c r="C20" s="11" t="n">
        <v>0.770917844011562</v>
      </c>
      <c r="D20" s="11" t="n">
        <f aca="false">C20/3</f>
        <v>0.256972614670521</v>
      </c>
      <c r="F20" s="0" t="s">
        <v>1</v>
      </c>
      <c r="G20" s="0" t="n">
        <v>0.168466522678186</v>
      </c>
    </row>
    <row r="21" customFormat="false" ht="15" hidden="false" customHeight="false" outlineLevel="0" collapsed="false">
      <c r="B21" s="9" t="s">
        <v>9</v>
      </c>
      <c r="C21" s="11" t="n">
        <v>0.728667191574507</v>
      </c>
      <c r="D21" s="11" t="n">
        <f aca="false">C21/3</f>
        <v>0.242889063858169</v>
      </c>
      <c r="F21" s="0" t="s">
        <v>9</v>
      </c>
      <c r="G21" s="0" t="n">
        <v>0.168466522678186</v>
      </c>
    </row>
    <row r="22" customFormat="false" ht="15" hidden="false" customHeight="false" outlineLevel="0" collapsed="false">
      <c r="B22" s="9" t="s">
        <v>75</v>
      </c>
      <c r="C22" s="11" t="n">
        <v>0.398800795410806</v>
      </c>
      <c r="D22" s="11" t="n">
        <f aca="false">C22/3</f>
        <v>0.132933598470269</v>
      </c>
      <c r="F22" s="0" t="s">
        <v>7</v>
      </c>
      <c r="G22" s="0" t="n">
        <v>0.125269978401728</v>
      </c>
    </row>
    <row r="23" customFormat="false" ht="15" hidden="false" customHeight="false" outlineLevel="0" collapsed="false">
      <c r="B23" s="9" t="s">
        <v>5</v>
      </c>
      <c r="C23" s="11" t="n">
        <v>0.343599048148771</v>
      </c>
      <c r="D23" s="11" t="n">
        <f aca="false">C23/3</f>
        <v>0.11453301604959</v>
      </c>
      <c r="F23" s="0" t="s">
        <v>5</v>
      </c>
      <c r="G23" s="0" t="n">
        <v>0.0950323974082074</v>
      </c>
    </row>
    <row r="24" customFormat="false" ht="15" hidden="false" customHeight="false" outlineLevel="0" collapsed="false">
      <c r="B24" s="9" t="s">
        <v>10</v>
      </c>
      <c r="C24" s="11" t="n">
        <v>0.332543219762677</v>
      </c>
      <c r="D24" s="11" t="n">
        <f aca="false">C24/3</f>
        <v>0.110847739920892</v>
      </c>
      <c r="F24" s="0" t="s">
        <v>10</v>
      </c>
      <c r="G24" s="0" t="n">
        <v>0.0539956803455724</v>
      </c>
    </row>
    <row r="25" customFormat="false" ht="15" hidden="false" customHeight="false" outlineLevel="0" collapsed="false">
      <c r="B25" s="9" t="s">
        <v>1</v>
      </c>
      <c r="C25" s="11" t="n">
        <v>0.168466522678186</v>
      </c>
      <c r="D25" s="11" t="n">
        <f aca="false">C25/3</f>
        <v>0.0561555075593953</v>
      </c>
      <c r="F25" s="0" t="s">
        <v>8</v>
      </c>
      <c r="G25" s="0" t="n">
        <v>0.0129589632829374</v>
      </c>
    </row>
    <row r="26" customFormat="false" ht="15" hidden="false" customHeight="false" outlineLevel="0" collapsed="false">
      <c r="B26" s="9" t="s">
        <v>76</v>
      </c>
      <c r="C26" s="11" t="n">
        <v>0.136047830937022</v>
      </c>
      <c r="D26" s="11" t="n">
        <f aca="false">C26/3</f>
        <v>0.0453492769790073</v>
      </c>
      <c r="F26" s="0" t="s">
        <v>2</v>
      </c>
      <c r="G26" s="0" t="n">
        <v>0.00431965442764579</v>
      </c>
    </row>
    <row r="27" customFormat="false" ht="15" hidden="false" customHeight="false" outlineLevel="0" collapsed="false">
      <c r="B27" s="9" t="s">
        <v>77</v>
      </c>
      <c r="C27" s="11" t="n">
        <v>0.0491519350215003</v>
      </c>
      <c r="D27" s="11" t="n">
        <f aca="false">C27/3</f>
        <v>0.0163839783405001</v>
      </c>
      <c r="F27" s="0" t="s">
        <v>3</v>
      </c>
      <c r="G27" s="0" t="n">
        <v>0.00431965442764579</v>
      </c>
    </row>
    <row r="28" customFormat="false" ht="15" hidden="false" customHeight="false" outlineLevel="0" collapsed="false">
      <c r="B28" s="9" t="s">
        <v>2</v>
      </c>
      <c r="C28" s="11" t="n">
        <v>0.0479173610688307</v>
      </c>
      <c r="D28" s="11" t="n">
        <f aca="false">C28/3</f>
        <v>0.0159724536896102</v>
      </c>
      <c r="F28" s="0" t="s">
        <v>11</v>
      </c>
      <c r="G28" s="0" t="n">
        <v>0.00431965442764579</v>
      </c>
    </row>
    <row r="29" customFormat="false" ht="15" hidden="false" customHeight="false" outlineLevel="0" collapsed="false">
      <c r="B29" s="9" t="s">
        <v>78</v>
      </c>
      <c r="C29" s="11" t="n">
        <v>0.0081820353559484</v>
      </c>
      <c r="D29" s="11" t="n">
        <f aca="false">C29/3</f>
        <v>0.00272734511864947</v>
      </c>
      <c r="F29" s="0" t="s">
        <v>4</v>
      </c>
      <c r="G29" s="0" t="n">
        <v>0.00215982721382289</v>
      </c>
    </row>
    <row r="30" customFormat="false" ht="15" hidden="false" customHeight="false" outlineLevel="0" collapsed="false">
      <c r="B30" s="9" t="s">
        <v>4</v>
      </c>
      <c r="C30" s="11" t="n">
        <v>0.00490707996107564</v>
      </c>
      <c r="D30" s="11" t="n">
        <f aca="false">C30/3</f>
        <v>0.00163569332035855</v>
      </c>
      <c r="F30" s="0" t="s">
        <v>6</v>
      </c>
      <c r="G30" s="0" t="n">
        <v>0.00215982721382289</v>
      </c>
    </row>
    <row r="31" customFormat="false" ht="15" hidden="false" customHeight="false" outlineLevel="0" collapsed="false">
      <c r="B31" s="9" t="s">
        <v>3</v>
      </c>
      <c r="C31" s="11" t="n">
        <v>0.00431965442764579</v>
      </c>
      <c r="D31" s="11" t="n">
        <f aca="false">C31/3</f>
        <v>0.00143988480921526</v>
      </c>
    </row>
    <row r="32" customFormat="false" ht="15" hidden="false" customHeight="false" outlineLevel="0" collapsed="false">
      <c r="B32" s="9" t="s">
        <v>11</v>
      </c>
      <c r="C32" s="11" t="n">
        <v>0.00431965442764579</v>
      </c>
      <c r="D32" s="11" t="n">
        <f aca="false">C32/3</f>
        <v>0.00143988480921526</v>
      </c>
    </row>
    <row r="33" customFormat="false" ht="15" hidden="false" customHeight="false" outlineLevel="0" collapsed="false">
      <c r="B33" s="12" t="s">
        <v>6</v>
      </c>
      <c r="C33" s="14" t="n">
        <v>0.00215982721382289</v>
      </c>
      <c r="D33" s="14" t="n">
        <f aca="false">C33/3</f>
        <v>0.00071994240460763</v>
      </c>
    </row>
    <row r="34" customFormat="false" ht="13.8" hidden="false" customHeight="false" outlineLevel="0" collapsed="false">
      <c r="C34" s="0" t="n">
        <f aca="false">SUM(C20:C33)</f>
        <v>3</v>
      </c>
      <c r="D34" s="0" t="n">
        <f aca="false">SUM(D20:D33)</f>
        <v>1</v>
      </c>
    </row>
    <row r="35" customFormat="false" ht="12.8" hidden="false" customHeight="false" outlineLevel="0" collapsed="false"/>
    <row r="36" customFormat="false" ht="15" hidden="false" customHeight="false" outlineLevel="0" collapsed="false">
      <c r="B36" s="8" t="s">
        <v>73</v>
      </c>
      <c r="C36" s="8" t="s">
        <v>79</v>
      </c>
      <c r="G36" s="0" t="s">
        <v>80</v>
      </c>
      <c r="H36" s="0" t="s">
        <v>81</v>
      </c>
    </row>
    <row r="37" customFormat="false" ht="15" hidden="false" customHeight="false" outlineLevel="0" collapsed="false">
      <c r="B37" s="9" t="s">
        <v>12</v>
      </c>
      <c r="C37" s="15" t="n">
        <v>0.256972614670521</v>
      </c>
      <c r="G37" s="0" t="n">
        <v>2023</v>
      </c>
      <c r="H37" s="0" t="n">
        <v>184</v>
      </c>
    </row>
    <row r="38" customFormat="false" ht="15" hidden="false" customHeight="false" outlineLevel="0" collapsed="false">
      <c r="B38" s="9" t="s">
        <v>9</v>
      </c>
      <c r="C38" s="15" t="n">
        <v>0.242889063858169</v>
      </c>
      <c r="G38" s="0" t="n">
        <v>2024</v>
      </c>
      <c r="H38" s="0" t="n">
        <v>364</v>
      </c>
    </row>
    <row r="39" customFormat="false" ht="15" hidden="false" customHeight="false" outlineLevel="0" collapsed="false">
      <c r="B39" s="9" t="s">
        <v>75</v>
      </c>
      <c r="C39" s="15" t="n">
        <v>0.132933598470269</v>
      </c>
      <c r="G39" s="0" t="n">
        <v>2025</v>
      </c>
      <c r="H39" s="0" t="n">
        <v>463</v>
      </c>
    </row>
    <row r="40" customFormat="false" ht="15" hidden="false" customHeight="false" outlineLevel="0" collapsed="false">
      <c r="B40" s="9" t="s">
        <v>5</v>
      </c>
      <c r="C40" s="15" t="n">
        <v>0.11453301604959</v>
      </c>
    </row>
    <row r="41" customFormat="false" ht="15" hidden="false" customHeight="false" outlineLevel="0" collapsed="false">
      <c r="B41" s="9" t="s">
        <v>10</v>
      </c>
      <c r="C41" s="15" t="n">
        <v>0.110847739920892</v>
      </c>
    </row>
    <row r="42" customFormat="false" ht="15" hidden="false" customHeight="false" outlineLevel="0" collapsed="false">
      <c r="B42" s="9" t="s">
        <v>1</v>
      </c>
      <c r="C42" s="15" t="n">
        <v>0.0561555075593953</v>
      </c>
    </row>
    <row r="43" customFormat="false" ht="15" hidden="false" customHeight="false" outlineLevel="0" collapsed="false">
      <c r="B43" s="9" t="s">
        <v>76</v>
      </c>
      <c r="C43" s="15" t="n">
        <v>0.0453492769790073</v>
      </c>
    </row>
    <row r="44" customFormat="false" ht="15" hidden="false" customHeight="false" outlineLevel="0" collapsed="false">
      <c r="B44" s="9" t="s">
        <v>77</v>
      </c>
      <c r="C44" s="15" t="n">
        <v>0.0163839783405001</v>
      </c>
    </row>
    <row r="45" customFormat="false" ht="15" hidden="false" customHeight="false" outlineLevel="0" collapsed="false">
      <c r="B45" s="9" t="s">
        <v>2</v>
      </c>
      <c r="C45" s="15" t="n">
        <v>0.0159724536896102</v>
      </c>
    </row>
    <row r="46" customFormat="false" ht="15" hidden="false" customHeight="false" outlineLevel="0" collapsed="false">
      <c r="B46" s="9" t="s">
        <v>78</v>
      </c>
      <c r="C46" s="15" t="n">
        <v>0.00272734511864947</v>
      </c>
    </row>
    <row r="47" customFormat="false" ht="15" hidden="false" customHeight="false" outlineLevel="0" collapsed="false">
      <c r="B47" s="9" t="s">
        <v>4</v>
      </c>
      <c r="C47" s="15" t="n">
        <v>0.00163569332035855</v>
      </c>
    </row>
    <row r="48" customFormat="false" ht="15" hidden="false" customHeight="false" outlineLevel="0" collapsed="false">
      <c r="B48" s="9" t="s">
        <v>3</v>
      </c>
      <c r="C48" s="15" t="n">
        <v>0.00143988480921526</v>
      </c>
    </row>
    <row r="49" customFormat="false" ht="15" hidden="false" customHeight="false" outlineLevel="0" collapsed="false">
      <c r="B49" s="9" t="s">
        <v>11</v>
      </c>
      <c r="C49" s="15" t="n">
        <v>0.00143988480921526</v>
      </c>
    </row>
    <row r="50" customFormat="false" ht="15" hidden="false" customHeight="false" outlineLevel="0" collapsed="false">
      <c r="B50" s="12" t="s">
        <v>6</v>
      </c>
      <c r="C50" s="16" t="n">
        <v>0.00071994240460763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4420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2026-05-12T13:55:18Z</dcterms:created>
  <dc:creator>openpyxl</dc:creator>
  <dc:description/>
  <dc:language>pt-BR</dc:language>
  <cp:lastModifiedBy/>
  <dcterms:modified xsi:type="dcterms:W3CDTF">2026-05-25T08:01:45Z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